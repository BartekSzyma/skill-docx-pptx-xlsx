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3.xml" ContentType="application/vnd.ms-office.chart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3.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Podsumowanie" sheetId="1" state="visible" r:id="rId3"/>
    <sheet name="Dane historyczne" sheetId="2" state="visible" r:id="rId4"/>
    <sheet name="Założenia" sheetId="3" state="visible" r:id="rId5"/>
    <sheet name="DCF" sheetId="4" state="visible" r:id="rId6"/>
    <sheet name="Wrażliwość" sheetId="5" state="visible" r:id="rId7"/>
    <sheet name="Ledger"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ledger</author>
  </authors>
  <commentList>
    <comment ref="B5" authorId="0">
      <text>
        <r>
          <rPr>
            <sz val="10"/>
            <rFont val="Arial"/>
            <family val="2"/>
            <charset val="238"/>
          </rPr>
          <t xml:space="preserve">F-03 - Meta Platforms, Inc. - raport roczny 10-K za 2025 r., strona 89
Cytat: "Revenue $ 200,966 $ 164,501 $ 134,902"</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 ref="B6" authorId="0">
      <text>
        <r>
          <rPr>
            <sz val="10"/>
            <rFont val="Arial"/>
            <family val="2"/>
            <charset val="238"/>
          </rPr>
          <t xml:space="preserve">F-06 - Meta Platforms, Inc. - raport roczny 10-K za 2025 r., strona 89
Cytat: "Income from operations 83,276 69,380 46,751"</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3</xdr:rowOff>
              </xdr:to>
            </anchor>
          </commentPr>
        </mc:Choice>
        <mc:Fallback/>
      </mc:AlternateContent>
    </comment>
    <comment ref="B11" authorId="0">
      <text>
        <r>
          <rPr>
            <sz val="10"/>
            <rFont val="Arial"/>
            <family val="2"/>
            <charset val="238"/>
          </rPr>
          <t xml:space="preserve">F-07 - Meta Platforms, Inc. - raport roczny 10-K za 2025 r., strona 89
Cytat: "Net income $ 60,458 $ 62,360 $ 39,098"</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 ref="B12" authorId="0">
      <text>
        <r>
          <rPr>
            <sz val="10"/>
            <rFont val="Arial"/>
            <family val="2"/>
            <charset val="238"/>
          </rPr>
          <t xml:space="preserve">F-08 - Meta Platforms, Inc. - raport roczny 10-K za 2025 r., strona 92
Cytat: "Depreciation and amortization 18,616 15,498 11,178"</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4</xdr:rowOff>
              </xdr:to>
            </anchor>
          </commentPr>
        </mc:Choice>
        <mc:Fallback/>
      </mc:AlternateContent>
    </comment>
    <comment ref="B13" authorId="0">
      <text>
        <r>
          <rPr>
            <sz val="10"/>
            <rFont val="Arial"/>
            <family val="2"/>
            <charset val="238"/>
          </rPr>
          <t xml:space="preserve">F-09 - Meta Platforms, Inc. - raport roczny 10-K za 2025 r., strona 92
Cytat: "Purchases of property and equipment (69,691) (37,256) (27,045)"</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7</xdr:rowOff>
              </xdr:to>
            </anchor>
          </commentPr>
        </mc:Choice>
        <mc:Fallback/>
      </mc:AlternateContent>
    </comment>
    <comment ref="B14" authorId="0">
      <text>
        <r>
          <rPr>
            <sz val="10"/>
            <rFont val="Arial"/>
            <family val="2"/>
            <charset val="238"/>
          </rPr>
          <t xml:space="preserve">F-10 - Meta Platforms, Inc. - raport roczny 10-K za 2025 r., strona 89
Cytat: "Income before provision for income taxes 85,932 70,663 47,428"</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7</xdr:rowOff>
              </xdr:to>
            </anchor>
          </commentPr>
        </mc:Choice>
        <mc:Fallback/>
      </mc:AlternateContent>
    </comment>
    <comment ref="B15" authorId="0">
      <text>
        <r>
          <rPr>
            <sz val="10"/>
            <rFont val="Arial"/>
            <family val="2"/>
            <charset val="238"/>
          </rPr>
          <t xml:space="preserve">F-11 - Meta Platforms, Inc. - raport roczny 10-K za 2025 r., strona 89
Cytat: "Provision for income taxes 25,474 8,303 8,330"</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3</xdr:rowOff>
              </xdr:to>
            </anchor>
          </commentPr>
        </mc:Choice>
        <mc:Fallback/>
      </mc:AlternateContent>
    </comment>
    <comment ref="B16" authorId="0">
      <text>
        <r>
          <rPr>
            <sz val="10"/>
            <rFont val="Arial"/>
            <family val="2"/>
            <charset val="238"/>
          </rPr>
          <t xml:space="preserve">F-12 - Meta Platforms, Inc. - raport roczny 10-K za 2025 r., strona 88
Cytat: "Cash and cash equivalents $ 35,873 $ 43,889"</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3</xdr:rowOff>
              </xdr:to>
            </anchor>
          </commentPr>
        </mc:Choice>
        <mc:Fallback/>
      </mc:AlternateContent>
    </comment>
    <comment ref="B17" authorId="0">
      <text>
        <r>
          <rPr>
            <sz val="10"/>
            <rFont val="Arial"/>
            <family val="2"/>
            <charset val="238"/>
          </rPr>
          <t xml:space="preserve">F-13 - Meta Platforms, Inc. - raport roczny 10-K za 2025 r., strona 88
Cytat: "Marketable securities 45,719 33,926"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 ref="B18" authorId="0">
      <text>
        <r>
          <rPr>
            <sz val="10"/>
            <rFont val="Arial"/>
            <family val="2"/>
            <charset val="238"/>
          </rPr>
          <t xml:space="preserve">F-15 - Meta Platforms, Inc. - raport roczny 10-K za 2025 r., strona 88
Cytat: "Long-term debt 58,744 28,826"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19</xdr:rowOff>
              </xdr:to>
            </anchor>
          </commentPr>
        </mc:Choice>
        <mc:Fallback/>
      </mc:AlternateContent>
    </comment>
    <comment ref="B19" authorId="0">
      <text>
        <r>
          <rPr>
            <sz val="10"/>
            <rFont val="Arial"/>
            <family val="2"/>
            <charset val="238"/>
          </rPr>
          <t xml:space="preserve">F-16 - Meta Platforms, Inc. - raport roczny 10-K za 2025 r., strona 88
Cytat: "Property and equipment, net 176,400 121,346"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3</xdr:rowOff>
              </xdr:to>
            </anchor>
          </commentPr>
        </mc:Choice>
        <mc:Fallback/>
      </mc:AlternateContent>
    </comment>
    <comment ref="B20" authorId="0">
      <text>
        <r>
          <rPr>
            <sz val="10"/>
            <rFont val="Arial"/>
            <family val="2"/>
            <charset val="238"/>
          </rPr>
          <t xml:space="preserve">F-17 - Meta Platforms, Inc. - raport roczny 10-K za 2025 r., strona 88
Cytat: "Property and equipment, net 176,400 121,346"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3</xdr:rowOff>
              </xdr:to>
            </anchor>
          </commentPr>
        </mc:Choice>
        <mc:Fallback/>
      </mc:AlternateContent>
    </comment>
    <comment ref="B21" authorId="0">
      <text>
        <r>
          <rPr>
            <sz val="10"/>
            <rFont val="Arial"/>
            <family val="2"/>
            <charset val="238"/>
          </rPr>
          <t xml:space="preserve">F-18 - Meta Platforms, Inc. - raport roczny 10-K za 2025 r., strona 126
Cytat: "Family of Apps: Revenue $ 198,759 $ 162,355 $ 133,006"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5</xdr:rowOff>
              </xdr:to>
            </anchor>
          </commentPr>
        </mc:Choice>
        <mc:Fallback/>
      </mc:AlternateContent>
    </comment>
    <comment ref="B22" authorId="0">
      <text>
        <r>
          <rPr>
            <sz val="10"/>
            <rFont val="Arial"/>
            <family val="2"/>
            <charset val="238"/>
          </rPr>
          <t xml:space="preserve">F-19 - Meta Platforms, Inc. - raport roczny 10-K za 2025 r., strona 126
Cytat: "Income from operations $ 102,469 $ 87,109 $ 62,871"</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5</xdr:rowOff>
              </xdr:to>
            </anchor>
          </commentPr>
        </mc:Choice>
        <mc:Fallback/>
      </mc:AlternateContent>
    </comment>
    <comment ref="B23" authorId="0">
      <text>
        <r>
          <rPr>
            <sz val="10"/>
            <rFont val="Arial"/>
            <family val="2"/>
            <charset val="238"/>
          </rPr>
          <t xml:space="preserve">F-20 - Meta Platforms, Inc. - raport roczny 10-K za 2025 r., strona 126
Cytat: "Reality Labs: Revenue $ 2,207 $ 2,146 $ 1,896"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3</xdr:rowOff>
              </xdr:to>
            </anchor>
          </commentPr>
        </mc:Choice>
        <mc:Fallback/>
      </mc:AlternateContent>
    </comment>
    <comment ref="B24" authorId="0">
      <text>
        <r>
          <rPr>
            <sz val="10"/>
            <rFont val="Arial"/>
            <family val="2"/>
            <charset val="238"/>
          </rPr>
          <t xml:space="preserve">F-21 - Meta Platforms, Inc. - raport roczny 10-K za 2025 r., strona 126
Cytat: "Loss from operations $ (19,193) $ (17,729) $ (16,120)"</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5</xdr:rowOff>
              </xdr:to>
            </anchor>
          </commentPr>
        </mc:Choice>
        <mc:Fallback/>
      </mc:AlternateContent>
    </comment>
    <comment ref="B25" authorId="0">
      <text>
        <r>
          <rPr>
            <sz val="10"/>
            <rFont val="Arial"/>
            <family val="2"/>
            <charset val="238"/>
          </rPr>
          <t xml:space="preserve">F-22 - Meta Platforms, Inc. - raport roczny 10-K za 2025 r., strona okładka (bez numeru)
Cytat: "On January 23, 2026, the registrant had 2,187,177,748 shares of Class A common stock and 342,377,716 shares of Class B common stock outstanding."</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4</xdr:row>
                <xdr:rowOff>12</xdr:rowOff>
              </xdr:to>
            </anchor>
          </commentPr>
        </mc:Choice>
        <mc:Fallback/>
      </mc:AlternateContent>
    </comment>
    <comment ref="B26" authorId="0">
      <text>
        <r>
          <rPr>
            <sz val="10"/>
            <rFont val="Arial"/>
            <family val="2"/>
            <charset val="238"/>
          </rPr>
          <t xml:space="preserve">F-23 - Meta Platforms, Inc. - raport roczny 10-K za 2025 r., strona okładka (bez numeru)
Cytat: "On January 23, 2026, the registrant had 2,187,177,748 shares of Class A common stock and 342,377,716 shares of Class B common stock outstanding."</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4</xdr:row>
                <xdr:rowOff>12</xdr:rowOff>
              </xdr:to>
            </anchor>
          </commentPr>
        </mc:Choice>
        <mc:Fallback/>
      </mc:AlternateContent>
    </comment>
    <comment ref="B27" authorId="0">
      <text>
        <r>
          <rPr>
            <sz val="10"/>
            <rFont val="Arial"/>
            <family val="2"/>
            <charset val="238"/>
          </rPr>
          <t xml:space="preserve">F-24 - Meta Platforms, Inc. - raport roczny 10-K za 2025 r., strona 61
Cytat: "Effective tax rate was 30% for the year ended December 31, 2025."
W ledgerze: 30 % (w arkuszu jako ułamek).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19</xdr:rowOff>
              </xdr:to>
            </anchor>
          </commentPr>
        </mc:Choice>
        <mc:Fallback/>
      </mc:AlternateContent>
    </comment>
    <comment ref="B28" authorId="0">
      <text>
        <r>
          <rPr>
            <sz val="10"/>
            <rFont val="Arial"/>
            <family val="2"/>
            <charset val="238"/>
          </rPr>
          <t xml:space="preserve">F-25 - Meta Platforms, Inc. - raport roczny 10-K za 2025 r., strona 77
Cytat: "Absent any changes to our tax landscape, we expect our effective tax rate for the full year 2026 to be in the range of 13-16%."
W ledgerze: 13 % (w arkuszu jako ułamek).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4</xdr:row>
                <xdr:rowOff>14</xdr:rowOff>
              </xdr:to>
            </anchor>
          </commentPr>
        </mc:Choice>
        <mc:Fallback/>
      </mc:AlternateContent>
    </comment>
    <comment ref="B29" authorId="0">
      <text>
        <r>
          <rPr>
            <sz val="10"/>
            <rFont val="Arial"/>
            <family val="2"/>
            <charset val="238"/>
          </rPr>
          <t xml:space="preserve">F-26 - Meta Platforms, Inc. - raport roczny 10-K za 2025 r., strona 77
Cytat: "Absent any changes to our tax landscape, we expect our effective tax rate for the full year 2026 to be in the range of 13-16%."
W ledgerze: 16 % (w arkuszu jako ułamek).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4</xdr:row>
                <xdr:rowOff>14</xdr:rowOff>
              </xdr:to>
            </anchor>
          </commentPr>
        </mc:Choice>
        <mc:Fallback/>
      </mc:AlternateContent>
    </comment>
    <comment ref="B30" authorId="0">
      <text>
        <r>
          <rPr>
            <sz val="10"/>
            <rFont val="Arial"/>
            <family val="2"/>
            <charset val="238"/>
          </rPr>
          <t xml:space="preserve">F-33 - Meta Platforms, Inc. - raport roczny 10-K za 2025 r., strona 77
Cytat: "We anticipate making capital expenditures of approximately $115 billion to $135 billion in 2026 to support our AI efforts and core business."</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4</xdr:row>
                <xdr:rowOff>7</xdr:rowOff>
              </xdr:to>
            </anchor>
          </commentPr>
        </mc:Choice>
        <mc:Fallback/>
      </mc:AlternateContent>
    </comment>
    <comment ref="B31" authorId="0">
      <text>
        <r>
          <rPr>
            <sz val="10"/>
            <rFont val="Arial"/>
            <family val="2"/>
            <charset val="238"/>
          </rPr>
          <t xml:space="preserve">F-34 - Meta Platforms, Inc. - raport roczny 10-K za 2025 r., strona 77
Cytat: "We anticipate making capital expenditures of approximately $115 billion to $135 billion in 2026 to support our AI efforts and core business."</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4</xdr:row>
                <xdr:rowOff>7</xdr:rowOff>
              </xdr:to>
            </anchor>
          </commentPr>
        </mc:Choice>
        <mc:Fallback/>
      </mc:AlternateContent>
    </comment>
    <comment ref="B32" authorId="0">
      <text>
        <r>
          <rPr>
            <sz val="10"/>
            <rFont val="Arial"/>
            <family val="2"/>
            <charset val="238"/>
          </rPr>
          <t xml:space="preserve">F-14 - Meta Platforms, Inc. - raport roczny 10-K za 2025 r., strona 77
Cytat: "Cash, cash equivalents, and marketable securities were $81.59 billion as of December 31, 2025"</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15</xdr:rowOff>
              </xdr:to>
            </anchor>
          </commentPr>
        </mc:Choice>
        <mc:Fallback/>
      </mc:AlternateContent>
    </comment>
    <comment ref="C5" authorId="0">
      <text>
        <r>
          <rPr>
            <sz val="10"/>
            <rFont val="Arial"/>
            <family val="2"/>
            <charset val="238"/>
          </rPr>
          <t xml:space="preserve">F-02 - Meta Platforms, Inc. - raport roczny 10-K za 2025 r., strona 89
Cytat: "Revenue $ 200,966 $ 164,501 $ 134,902"</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 ref="C6" authorId="0">
      <text>
        <r>
          <rPr>
            <sz val="10"/>
            <rFont val="Arial"/>
            <family val="2"/>
            <charset val="238"/>
          </rPr>
          <t xml:space="preserve">F-05 - Meta Platforms, Inc. - raport roczny 10-K za 2025 r., strona 89
Cytat: "Income from operations 83,276 69,380 46,751"</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3</xdr:rowOff>
              </xdr:to>
            </anchor>
          </commentPr>
        </mc:Choice>
        <mc:Fallback/>
      </mc:AlternateContent>
    </comment>
    <comment ref="D5" authorId="0">
      <text>
        <r>
          <rPr>
            <sz val="10"/>
            <rFont val="Arial"/>
            <family val="2"/>
            <charset val="238"/>
          </rPr>
          <t xml:space="preserve">F-01 - Meta Platforms, Inc. - raport roczny 10-K za 2025 r., strona 89
Cytat: "Revenue $ 200,966 $ 164,501 $ 134,902"</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 ref="D6" authorId="0">
      <text>
        <r>
          <rPr>
            <sz val="10"/>
            <rFont val="Arial"/>
            <family val="2"/>
            <charset val="238"/>
          </rPr>
          <t xml:space="preserve">F-04 - Meta Platforms, Inc. - raport roczny 10-K za 2025 r., strona 89
Cytat: "Income from operations 83,276 69,380 46,751"</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3</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ledger</author>
  </authors>
  <commentList>
    <comment ref="B5" authorId="0">
      <text>
        <r>
          <rPr>
            <sz val="10"/>
            <rFont val="Arial"/>
            <family val="2"/>
            <charset val="238"/>
          </rPr>
          <t xml:space="preserve">Z-01 (założenie)
Wzrost przychodów r/r w 2026 r.
Uzasadnienie: Przychody rosły o ok. 22% w 2025 r. (F-02 -&gt; F-01) i ok. 22% w 2024 r. (F-03 -&gt; F-02). Zakładamy lekkie spowolnienie przy tak dużej skali, a liczba użytkowników (F-28) rosła już tylko o 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15</xdr:rowOff>
              </xdr:to>
            </anchor>
          </commentPr>
        </mc:Choice>
        <mc:Fallback/>
      </mc:AlternateContent>
    </comment>
    <comment ref="B7" authorId="0">
      <text>
        <r>
          <rPr>
            <sz val="10"/>
            <rFont val="Arial"/>
            <family val="2"/>
            <charset val="238"/>
          </rPr>
          <t xml:space="preserve">Z-06 (założenie)
Marża operacyjna w 2026 r.
Uzasadnienie: Marża operacyjna w 2025 r. wyniosła 41% (F-27). Rekordowe nakłady (F-33, F-34) podnoszą amortyzację (Z-17 do Z-21), która obniża zysk operacyjny; do tego strata Reality Labs (F-21). Zakładamy marżę przed amortyzacją ok. 50-52% minus rosnąca amortyzacja.</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10</xdr:rowOff>
              </xdr:to>
            </anchor>
          </commentPr>
        </mc:Choice>
        <mc:Fallback/>
      </mc:AlternateContent>
    </comment>
    <comment ref="B9" authorId="0">
      <text>
        <r>
          <rPr>
            <sz val="10"/>
            <rFont val="Arial"/>
            <family val="2"/>
            <charset val="238"/>
          </rPr>
          <t xml:space="preserve">Z-12 (założenie)
Nakłady inwestycyjne jako % przychodów w 2026 r.
Uzasadnienie: Spółka planuje 115-135 mld USD nakładów w 2026 r. (F-33, F-34); 52% prognozowanych przychodów to ok. 123 mld USD, czyli środek tego przedziału. W 2025 r. nakłady wyniosły ok. 35% przychodów (F-09, F-01).</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3</xdr:rowOff>
              </xdr:to>
            </anchor>
          </commentPr>
        </mc:Choice>
        <mc:Fallback/>
      </mc:AlternateContent>
    </comment>
    <comment ref="B11" authorId="0">
      <text>
        <r>
          <rPr>
            <sz val="10"/>
            <rFont val="Arial"/>
            <family val="2"/>
            <charset val="238"/>
          </rPr>
          <t xml:space="preserve">Z-17 (założenie)
Amortyzacja jako % przychodów w 2026 r.
Uzasadnienie: W 2025 r. amortyzacja wyniosła ok. 9% przychodów i ok. 12,5% średnich aktywów trwałych netto (F-08, F-17, F-16). Nakłady dużo wyższe od amortyzacji (Z-12 do Z-16) powiększają majątek, więc przy tej samej stawce 12,5% amortyzacja rośnie do ok. 16% przychodów.</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14</xdr:rowOff>
              </xdr:to>
            </anchor>
          </commentPr>
        </mc:Choice>
        <mc:Fallback/>
      </mc:AlternateContent>
    </comment>
    <comment ref="B15" authorId="0">
      <text>
        <r>
          <rPr>
            <sz val="10"/>
            <rFont val="Arial"/>
            <family val="2"/>
            <charset val="238"/>
          </rPr>
          <t xml:space="preserve">Z-22 (założenie)
Stopa podatkowa do modelu DCF
Uzasadnienie: Spółka oczekuje efektywnej stopy 13-16% w 2026 r. (F-25, F-26). Stopa 30% z 2025 r. (F-24) zawiera jednorazowy odpis, więc jej nie używamy. Bierzemy 15%, blisko górnej granicy, na wypadek zmian przepisów.</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18</xdr:rowOff>
              </xdr:to>
            </anchor>
          </commentPr>
        </mc:Choice>
        <mc:Fallback/>
      </mc:AlternateContent>
    </comment>
    <comment ref="B16" authorId="0">
      <text>
        <r>
          <rPr>
            <sz val="10"/>
            <rFont val="Arial"/>
            <family val="2"/>
            <charset val="238"/>
          </rPr>
          <t xml:space="preserve">Z-23 (założenie)
Beta akcji META
Uzasadnienie: Nie mamy w źródłach wyliczonej bety. Przyjmujemy 1,2, bo duże spółki technologiczne zależne od reklam zwykle są nieco bardziej wrażliwe na rynek niż średnia; warto to później zweryfikować na danych notowań.</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15</xdr:rowOff>
              </xdr:to>
            </anchor>
          </commentPr>
        </mc:Choice>
        <mc:Fallback/>
      </mc:AlternateContent>
    </comment>
    <comment ref="B17" authorId="0">
      <text>
        <r>
          <rPr>
            <sz val="10"/>
            <rFont val="Arial"/>
            <family val="2"/>
            <charset val="238"/>
          </rPr>
          <t xml:space="preserve">Z-24 (założenie)
Premia za ryzyko rynkowe (USA)
Uzasadnienie: Typowa wartość stosowana dla rynku USA mieści się w przedziale ok. 4-6%; bierzemy środek. Razem z rentownością obligacji (R-02) i betą (Z-23) daje koszt kapitału własnego.</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10</xdr:rowOff>
              </xdr:to>
            </anchor>
          </commentPr>
        </mc:Choice>
        <mc:Fallback/>
      </mc:AlternateContent>
    </comment>
    <comment ref="B18" authorId="0">
      <text>
        <r>
          <rPr>
            <sz val="10"/>
            <rFont val="Arial"/>
            <family val="2"/>
            <charset val="238"/>
          </rPr>
          <t xml:space="preserve">Z-25 (założenie)
Wzrost w okresie rezydualnym (po 2030 r.)
Uzasadnienie: Dojrzała spółka rośnie mniej więcej w tempie nominalnej gospodarki. Wartość jest wyraźnie niższa niż rentowność 10-letnich obligacji USA (R-02) i niż wzrost w 2030 r. (Z-05).</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14</xdr:rowOff>
              </xdr:to>
            </anchor>
          </commentPr>
        </mc:Choice>
        <mc:Fallback/>
      </mc:AlternateContent>
    </comment>
    <comment ref="B19" authorId="0">
      <text>
        <r>
          <rPr>
            <sz val="10"/>
            <rFont val="Arial"/>
            <family val="2"/>
            <charset val="238"/>
          </rPr>
          <t xml:space="preserve">R-02 - FRED, Federal Reserve Bank of St. Louis - seria DGS10 (CSV), plik META/zrodla/rynek/dgs10-2026-10-17.csv, pobrano 2026-10-17
Cytat: "2026-10-15,5.10"
W ledgerze: 5.1 % (w arkuszu jako ułamek).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2</xdr:rowOff>
              </xdr:to>
            </anchor>
          </commentPr>
        </mc:Choice>
        <mc:Fallback/>
      </mc:AlternateContent>
    </comment>
    <comment ref="B20" authorId="0">
      <text>
        <r>
          <rPr>
            <sz val="10"/>
            <rFont val="Arial"/>
            <family val="2"/>
            <charset val="238"/>
          </rPr>
          <t xml:space="preserve">R-01 - Yahoo Finance - chart API (odpowiedź JSON), plik META/zrodla/rynek/kurs-2026-10-17.json, pobrano 2026-10-17
Cytat: ""close": [ 742.9600219726562, 762.5, 737.5399780273438, 736.719970703125, 709.3300170898438 ]"</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6</xdr:rowOff>
              </xdr:to>
            </anchor>
          </commentPr>
        </mc:Choice>
        <mc:Fallback/>
      </mc:AlternateContent>
    </comment>
    <comment ref="C5" authorId="0">
      <text>
        <r>
          <rPr>
            <sz val="10"/>
            <rFont val="Arial"/>
            <family val="2"/>
            <charset val="238"/>
          </rPr>
          <t xml:space="preserve">Z-02 (założenie)
Wzrost przychodów r/r w 2027 r.
Uzasadnienie: Dalsze stopniowe spowolnienie: przychody prawie w całości pochodzą z reklam (F-35), a rynek reklamy rośnie wolniej niż Meta w ostatnich latach.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3</xdr:rowOff>
              </xdr:to>
            </anchor>
          </commentPr>
        </mc:Choice>
        <mc:Fallback/>
      </mc:AlternateContent>
    </comment>
    <comment ref="C7" authorId="0">
      <text>
        <r>
          <rPr>
            <sz val="10"/>
            <rFont val="Arial"/>
            <family val="2"/>
            <charset val="238"/>
          </rPr>
          <t xml:space="preserve">Z-07 (założenie)
Marża operacyjna w 2027 r.
Uzasadnienie: Marża operacyjna w 2025 r. wyniosła 41% (F-27). Rekordowe nakłady (F-33, F-34) podnoszą amortyzację (Z-17 do Z-21), która obniża zysk operacyjny; do tego strata Reality Labs (F-21). Zakładamy marżę przed amortyzacją ok. 50-52% minus rosnąca amortyzacja.</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10</xdr:rowOff>
              </xdr:to>
            </anchor>
          </commentPr>
        </mc:Choice>
        <mc:Fallback/>
      </mc:AlternateContent>
    </comment>
    <comment ref="C9" authorId="0">
      <text>
        <r>
          <rPr>
            <sz val="10"/>
            <rFont val="Arial"/>
            <family val="2"/>
            <charset val="238"/>
          </rPr>
          <t xml:space="preserve">Z-13 (założenie)
Nakłady inwestycyjne jako % przychodów w 2027 r.
Uzasadnienie: Zakładamy, że nakłady w kwotach pozostają zbliżone do 2026 r., więc jako % szybko rosnących przychodów spadają.</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20</xdr:rowOff>
              </xdr:to>
            </anchor>
          </commentPr>
        </mc:Choice>
        <mc:Fallback/>
      </mc:AlternateContent>
    </comment>
    <comment ref="C11" authorId="0">
      <text>
        <r>
          <rPr>
            <sz val="10"/>
            <rFont val="Arial"/>
            <family val="2"/>
            <charset val="238"/>
          </rPr>
          <t xml:space="preserve">Z-18 (założenie)
Amortyzacja jako % przychodów w 2027 r.
Uzasadnienie: W 2025 r. amortyzacja wyniosła ok. 9% przychodów i ok. 12,5% średnich aktywów trwałych netto (F-08, F-17, F-16). Nakłady dużo wyższe od amortyzacji (Z-12 do Z-16) powiększają majątek, więc przy tej samej stawce 12,5% amortyzacja rośnie do ok. 16% przychodów.</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14</xdr:rowOff>
              </xdr:to>
            </anchor>
          </commentPr>
        </mc:Choice>
        <mc:Fallback/>
      </mc:AlternateContent>
    </comment>
    <comment ref="D5" authorId="0">
      <text>
        <r>
          <rPr>
            <sz val="10"/>
            <rFont val="Arial"/>
            <family val="2"/>
            <charset val="238"/>
          </rPr>
          <t xml:space="preserve">Z-03 (założenie)
Wzrost przychodów r/r w 2028 r.
Uzasadnienie: Wzrost dalej słabnie wraz ze skalą biznesu; zakładamy, że AI wspiera skuteczność reklam, ale nie odwraca trendu spowolnienia.</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19</xdr:rowOff>
              </xdr:to>
            </anchor>
          </commentPr>
        </mc:Choice>
        <mc:Fallback/>
      </mc:AlternateContent>
    </comment>
    <comment ref="D7" authorId="0">
      <text>
        <r>
          <rPr>
            <sz val="10"/>
            <rFont val="Arial"/>
            <family val="2"/>
            <charset val="238"/>
          </rPr>
          <t xml:space="preserve">Z-08 (założenie)
Marża operacyjna w 2028 r.
Uzasadnienie: Marża operacyjna w 2025 r. wyniosła 41% (F-27). Rekordowe nakłady (F-33, F-34) podnoszą amortyzację (Z-17 do Z-21), która obniża zysk operacyjny; do tego strata Reality Labs (F-21). Zakładamy marżę przed amortyzacją ok. 50-52% minus rosnąca amortyzacja.</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10</xdr:rowOff>
              </xdr:to>
            </anchor>
          </commentPr>
        </mc:Choice>
        <mc:Fallback/>
      </mc:AlternateContent>
    </comment>
    <comment ref="D9" authorId="0">
      <text>
        <r>
          <rPr>
            <sz val="10"/>
            <rFont val="Arial"/>
            <family val="2"/>
            <charset val="238"/>
          </rPr>
          <t xml:space="preserve">Z-14 (założenie)
Nakłady inwestycyjne jako % przychodów w 2028 r.
Uzasadnienie: Budowa infrastruktury AI stopniowo się kończy; nakłady w kwotach zaczynają spadać.</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12</xdr:rowOff>
              </xdr:to>
            </anchor>
          </commentPr>
        </mc:Choice>
        <mc:Fallback/>
      </mc:AlternateContent>
    </comment>
    <comment ref="D11" authorId="0">
      <text>
        <r>
          <rPr>
            <sz val="10"/>
            <rFont val="Arial"/>
            <family val="2"/>
            <charset val="238"/>
          </rPr>
          <t xml:space="preserve">Z-19 (założenie)
Amortyzacja jako % przychodów w 2028 r.
Uzasadnienie: W 2025 r. amortyzacja wyniosła ok. 9% przychodów i ok. 12,5% średnich aktywów trwałych netto (F-08, F-17, F-16). Nakłady dużo wyższe od amortyzacji (Z-12 do Z-16) powiększają majątek, więc przy tej samej stawce 12,5% amortyzacja rośnie do ok. 16% przychodów.</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14</xdr:rowOff>
              </xdr:to>
            </anchor>
          </commentPr>
        </mc:Choice>
        <mc:Fallback/>
      </mc:AlternateContent>
    </comment>
    <comment ref="E5" authorId="0">
      <text>
        <r>
          <rPr>
            <sz val="10"/>
            <rFont val="Arial"/>
            <family val="2"/>
            <charset val="238"/>
          </rPr>
          <t xml:space="preserve">Z-04 (założenie)
Wzrost przychodów r/r w 2029 r.
Uzasadnienie: Kontynuacja łagodnego spowolnienia w stronę dojrzałej spółki.</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3</xdr:rowOff>
              </xdr:to>
            </anchor>
          </commentPr>
        </mc:Choice>
        <mc:Fallback/>
      </mc:AlternateContent>
    </comment>
    <comment ref="E7" authorId="0">
      <text>
        <r>
          <rPr>
            <sz val="10"/>
            <rFont val="Arial"/>
            <family val="2"/>
            <charset val="238"/>
          </rPr>
          <t xml:space="preserve">Z-09 (założenie)
Marża operacyjna w 2029 r.
Uzasadnienie: Marża operacyjna w 2025 r. wyniosła 41% (F-27). Rekordowe nakłady (F-33, F-34) podnoszą amortyzację (Z-17 do Z-21), która obniża zysk operacyjny; do tego strata Reality Labs (F-21). Zakładamy marżę przed amortyzacją ok. 50-52% minus rosnąca amortyzacja.</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10</xdr:rowOff>
              </xdr:to>
            </anchor>
          </commentPr>
        </mc:Choice>
        <mc:Fallback/>
      </mc:AlternateContent>
    </comment>
    <comment ref="E9" authorId="0">
      <text>
        <r>
          <rPr>
            <sz val="10"/>
            <rFont val="Arial"/>
            <family val="2"/>
            <charset val="238"/>
          </rPr>
          <t xml:space="preserve">Z-15 (założenie)
Nakłady inwestycyjne jako % przychodów w 2029 r.
Uzasadnienie: Dalsze zmniejszanie nakładów w stronę poziomu potrzebnego do utrzymania i umiarkowanego wzrostu.</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16</xdr:rowOff>
              </xdr:to>
            </anchor>
          </commentPr>
        </mc:Choice>
        <mc:Fallback/>
      </mc:AlternateContent>
    </comment>
    <comment ref="E11" authorId="0">
      <text>
        <r>
          <rPr>
            <sz val="10"/>
            <rFont val="Arial"/>
            <family val="2"/>
            <charset val="238"/>
          </rPr>
          <t xml:space="preserve">Z-20 (założenie)
Amortyzacja jako % przychodów w 2029 r.
Uzasadnienie: W 2025 r. amortyzacja wyniosła ok. 9% przychodów i ok. 12,5% średnich aktywów trwałych netto (F-08, F-17, F-16). Nakłady dużo wyższe od amortyzacji (Z-12 do Z-16) powiększają majątek, więc przy tej samej stawce 12,5% amortyzacja rośnie do ok. 16% przychodów.</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14</xdr:rowOff>
              </xdr:to>
            </anchor>
          </commentPr>
        </mc:Choice>
        <mc:Fallback/>
      </mc:AlternateContent>
    </comment>
    <comment ref="F5" authorId="0">
      <text>
        <r>
          <rPr>
            <sz val="10"/>
            <rFont val="Arial"/>
            <family val="2"/>
            <charset val="238"/>
          </rPr>
          <t xml:space="preserve">Z-05 (założenie)
Wzrost przychodów r/r w 2030 r.
Uzasadnienie: Ostatni rok prognozy; wzrost zbliża się do poziomu, z którego da się przejść do okresu rezydualnego (Z-25).</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14</xdr:rowOff>
              </xdr:to>
            </anchor>
          </commentPr>
        </mc:Choice>
        <mc:Fallback/>
      </mc:AlternateContent>
    </comment>
    <comment ref="F7" authorId="0">
      <text>
        <r>
          <rPr>
            <sz val="10"/>
            <rFont val="Arial"/>
            <family val="2"/>
            <charset val="238"/>
          </rPr>
          <t xml:space="preserve">Z-10 (założenie)
Marża operacyjna w 2030 r.
Uzasadnienie: Marża operacyjna w 2025 r. wyniosła 41% (F-27). Rekordowe nakłady (F-33, F-34) podnoszą amortyzację (Z-17 do Z-21), która obniża zysk operacyjny; do tego strata Reality Labs (F-21). Zakładamy marżę przed amortyzacją ok. 50-52% minus rosnąca amortyzacja.</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10</xdr:rowOff>
              </xdr:to>
            </anchor>
          </commentPr>
        </mc:Choice>
        <mc:Fallback/>
      </mc:AlternateContent>
    </comment>
    <comment ref="F9" authorId="0">
      <text>
        <r>
          <rPr>
            <sz val="10"/>
            <rFont val="Arial"/>
            <family val="2"/>
            <charset val="238"/>
          </rPr>
          <t xml:space="preserve">Z-16 (założenie)
Nakłady inwestycyjne jako % przychodów w 2030 r.
Uzasadnienie: Nakłady zbliżają się do poziomu rezydualnego (Z-26), ale wciąż są wyraźnie wyższe niż amortyzacja, bo spółka nadal rośnie.</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2</xdr:rowOff>
              </xdr:to>
            </anchor>
          </commentPr>
        </mc:Choice>
        <mc:Fallback/>
      </mc:AlternateContent>
    </comment>
    <comment ref="F11" authorId="0">
      <text>
        <r>
          <rPr>
            <sz val="10"/>
            <rFont val="Arial"/>
            <family val="2"/>
            <charset val="238"/>
          </rPr>
          <t xml:space="preserve">Z-21 (założenie)
Amortyzacja jako % przychodów w 2030 r.
Uzasadnienie: W 2025 r. amortyzacja wyniosła ok. 9% przychodów i ok. 12,5% średnich aktywów trwałych netto (F-08, F-17, F-16). Nakłady dużo wyższe od amortyzacji (Z-12 do Z-16) powiększają majątek, więc przy tej samej stawce 12,5% amortyzacja rośnie do ok. 16% przychodów.</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14</xdr:rowOff>
              </xdr:to>
            </anchor>
          </commentPr>
        </mc:Choice>
        <mc:Fallback/>
      </mc:AlternateContent>
    </comment>
    <comment ref="G7" authorId="0">
      <text>
        <r>
          <rPr>
            <sz val="10"/>
            <rFont val="Arial"/>
            <family val="2"/>
            <charset val="238"/>
          </rPr>
          <t xml:space="preserve">Z-11 (założenie)
Marża operacyjna w okresie rezydualnym (po 2030 r.)
Uzasadnienie: Zakładamy, że marża z 2030 r. (Z-10) utrzymuje się, bo amortyzacja w okresie rezydualnym (Z-27) jest taka sama jak w 2030 r.</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4</xdr:rowOff>
              </xdr:to>
            </anchor>
          </commentPr>
        </mc:Choice>
        <mc:Fallback/>
      </mc:AlternateContent>
    </comment>
    <comment ref="G9" authorId="0">
      <text>
        <r>
          <rPr>
            <sz val="10"/>
            <rFont val="Arial"/>
            <family val="2"/>
            <charset val="238"/>
          </rPr>
          <t xml:space="preserve">Z-26 (założenie)
Nakłady inwestycyjne jako % przychodów w okresie rezydualnym
Uzasadnienie: Przy wzroście 3% (Z-25) majątek trwały musi rosnąć ok. 3% rocznie. Majątek netto ma wtedy wartość ok. 1-1,3 rocznych przychodów, więc nakłady powinny przewyższać amortyzację (Z-27) o ok. 3 punkty procentowe przychodów.</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9</xdr:rowOff>
              </xdr:to>
            </anchor>
          </commentPr>
        </mc:Choice>
        <mc:Fallback/>
      </mc:AlternateContent>
    </comment>
    <comment ref="G11" authorId="0">
      <text>
        <r>
          <rPr>
            <sz val="10"/>
            <rFont val="Arial"/>
            <family val="2"/>
            <charset val="238"/>
          </rPr>
          <t xml:space="preserve">Z-27 (założenie)
Amortyzacja jako % przychodów w okresie rezydualnym
Uzasadnienie: Pozostaje na poziomie z 2030 r. (Z-21): majątek zbudowany w latach 2026-2030 dalej się amortyzuje, a nakłady (Z-26) są tylko trochę wyższe niż amortyzacja.</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11</xdr:rowOff>
              </xdr:to>
            </anchor>
          </commentPr>
        </mc:Choice>
        <mc:Fallback/>
      </mc:AlternateContent>
    </comment>
  </commentList>
</comments>
</file>

<file path=xl/sharedStrings.xml><?xml version="1.0" encoding="utf-8"?>
<sst xmlns="http://schemas.openxmlformats.org/spreadsheetml/2006/main" count="1020" uniqueCount="454">
  <si>
    <t xml:space="preserve">META - wycena metodą DCF</t>
  </si>
  <si>
    <t xml:space="preserve">Wszystkie liczby w tym arkuszu to formuły odwołujące się do pozostałych arkuszy.</t>
  </si>
  <si>
    <t xml:space="preserve">Wynik</t>
  </si>
  <si>
    <t xml:space="preserve">Wartość</t>
  </si>
  <si>
    <t xml:space="preserve">Wartość jednej akcji z DCF (USD)</t>
  </si>
  <si>
    <t xml:space="preserve">Aktualny kurs (USD)</t>
  </si>
  <si>
    <t xml:space="preserve">Różnica: wartość z DCF wobec kursu</t>
  </si>
  <si>
    <t xml:space="preserve">WACC</t>
  </si>
  <si>
    <t xml:space="preserve">Wzrost w okresie rezydualnym</t>
  </si>
  <si>
    <t xml:space="preserve">Wartość firmy (mln USD)</t>
  </si>
  <si>
    <t xml:space="preserve">Wartość kapitału własnego (mln USD)</t>
  </si>
  <si>
    <t xml:space="preserve">Udział wartości rezydualnej w wartości firmy</t>
  </si>
  <si>
    <t xml:space="preserve">Kluczowe założenia</t>
  </si>
  <si>
    <t xml:space="preserve">Wzrost przychodów 2026</t>
  </si>
  <si>
    <t xml:space="preserve">Wzrost przychodów 2030</t>
  </si>
  <si>
    <t xml:space="preserve">Marża operacyjna 2026</t>
  </si>
  <si>
    <t xml:space="preserve">Marża operacyjna po 2030</t>
  </si>
  <si>
    <t xml:space="preserve">Nakłady inwestycyjne / przychody 2026</t>
  </si>
  <si>
    <t xml:space="preserve">Nakłady inwestycyjne / przychody po 2030</t>
  </si>
  <si>
    <t xml:space="preserve">Amortyzacja / przychody po 2030</t>
  </si>
  <si>
    <t xml:space="preserve">Stopa podatkowa</t>
  </si>
  <si>
    <t xml:space="preserve">Stopa wolna od ryzyka (10Y UST)</t>
  </si>
  <si>
    <t xml:space="preserve">Beta</t>
  </si>
  <si>
    <t xml:space="preserve">Premia za ryzyko rynkowe</t>
  </si>
  <si>
    <t xml:space="preserve">Dane do wykresów</t>
  </si>
  <si>
    <t xml:space="preserve">Rok</t>
  </si>
  <si>
    <t xml:space="preserve">Przychody (mln USD)</t>
  </si>
  <si>
    <t xml:space="preserve">Marża operacyjna</t>
  </si>
  <si>
    <t xml:space="preserve">FCF (mln USD)</t>
  </si>
  <si>
    <t xml:space="preserve">2023</t>
  </si>
  <si>
    <t xml:space="preserve">2024</t>
  </si>
  <si>
    <t xml:space="preserve">2025</t>
  </si>
  <si>
    <t xml:space="preserve">2026</t>
  </si>
  <si>
    <t xml:space="preserve">2027</t>
  </si>
  <si>
    <t xml:space="preserve">2028</t>
  </si>
  <si>
    <t xml:space="preserve">2029</t>
  </si>
  <si>
    <t xml:space="preserve">2030</t>
  </si>
  <si>
    <t xml:space="preserve">Od wartości firmy do kapitału</t>
  </si>
  <si>
    <t xml:space="preserve">Podstawa (pomocnicza)</t>
  </si>
  <si>
    <t xml:space="preserve">Wartość (mln USD)</t>
  </si>
  <si>
    <t xml:space="preserve">PV FCF 2026-2030</t>
  </si>
  <si>
    <t xml:space="preserve">PV wartości rezydualnej</t>
  </si>
  <si>
    <t xml:space="preserve">Wartość firmy</t>
  </si>
  <si>
    <t xml:space="preserve">+ Gotówka i papiery</t>
  </si>
  <si>
    <t xml:space="preserve">- Dług</t>
  </si>
  <si>
    <t xml:space="preserve">Kapitał własny</t>
  </si>
  <si>
    <t xml:space="preserve">Kapitał własny / liczba akcji (mln) = wartość jednej akcji (USD):</t>
  </si>
  <si>
    <t xml:space="preserve">META - dane historyczne z raportu 10-K (mln USD, jeśli nie podano inaczej)</t>
  </si>
  <si>
    <t xml:space="preserve">Niebieskie liczby pochodzą z ledgera; obok id wpisu, w komentarzu komórki cytat i strona źródła.</t>
  </si>
  <si>
    <t xml:space="preserve">Pozycja</t>
  </si>
  <si>
    <t xml:space="preserve">id 2023</t>
  </si>
  <si>
    <t xml:space="preserve">id 2024</t>
  </si>
  <si>
    <t xml:space="preserve">id 2025</t>
  </si>
  <si>
    <t xml:space="preserve">Przychody</t>
  </si>
  <si>
    <t xml:space="preserve">F-03</t>
  </si>
  <si>
    <t xml:space="preserve">F-02</t>
  </si>
  <si>
    <t xml:space="preserve">F-01</t>
  </si>
  <si>
    <t xml:space="preserve">Zysk operacyjny</t>
  </si>
  <si>
    <t xml:space="preserve">F-06</t>
  </si>
  <si>
    <t xml:space="preserve">F-05</t>
  </si>
  <si>
    <t xml:space="preserve">F-04</t>
  </si>
  <si>
    <t xml:space="preserve">Wzrost przychodów r/r</t>
  </si>
  <si>
    <t xml:space="preserve">Pozostałe fakty</t>
  </si>
  <si>
    <t xml:space="preserve">Jednostka</t>
  </si>
  <si>
    <t xml:space="preserve">Okres</t>
  </si>
  <si>
    <t xml:space="preserve">id</t>
  </si>
  <si>
    <t xml:space="preserve">Zysk netto</t>
  </si>
  <si>
    <t xml:space="preserve">mln USD</t>
  </si>
  <si>
    <t xml:space="preserve">F-07</t>
  </si>
  <si>
    <t xml:space="preserve">Amortyzacja (depreciation and amortization)</t>
  </si>
  <si>
    <t xml:space="preserve">F-08</t>
  </si>
  <si>
    <t xml:space="preserve">Nakłady inwestycyjne - zakup rzeczowych aktywów trwałych (wypływ gotówki, w raporcie w nawiasie, stąd wartość ujemna)</t>
  </si>
  <si>
    <t xml:space="preserve">F-09</t>
  </si>
  <si>
    <t xml:space="preserve">Zysk przed opodatkowaniem</t>
  </si>
  <si>
    <t xml:space="preserve">F-10</t>
  </si>
  <si>
    <t xml:space="preserve">Podatek dochodowy</t>
  </si>
  <si>
    <t xml:space="preserve">F-11</t>
  </si>
  <si>
    <t xml:space="preserve">Gotówka i ekwiwalenty gotówki na koniec roku</t>
  </si>
  <si>
    <t xml:space="preserve">2025-12-31</t>
  </si>
  <si>
    <t xml:space="preserve">F-12</t>
  </si>
  <si>
    <t xml:space="preserve">Papiery wartościowe (marketable securities) na koniec roku</t>
  </si>
  <si>
    <t xml:space="preserve">F-13</t>
  </si>
  <si>
    <t xml:space="preserve">Dług długoterminowy na koniec roku</t>
  </si>
  <si>
    <t xml:space="preserve">F-15</t>
  </si>
  <si>
    <t xml:space="preserve">Rzeczowe aktywa trwałe netto na koniec roku</t>
  </si>
  <si>
    <t xml:space="preserve">F-16</t>
  </si>
  <si>
    <t xml:space="preserve">2024-12-31</t>
  </si>
  <si>
    <t xml:space="preserve">F-17</t>
  </si>
  <si>
    <t xml:space="preserve">Przychody segmentu Family of Apps</t>
  </si>
  <si>
    <t xml:space="preserve">F-18</t>
  </si>
  <si>
    <t xml:space="preserve">Zysk operacyjny segmentu Family of Apps</t>
  </si>
  <si>
    <t xml:space="preserve">F-19</t>
  </si>
  <si>
    <t xml:space="preserve">Przychody segmentu Reality Labs</t>
  </si>
  <si>
    <t xml:space="preserve">F-20</t>
  </si>
  <si>
    <t xml:space="preserve">Wynik operacyjny segmentu Reality Labs (strata)</t>
  </si>
  <si>
    <t xml:space="preserve">F-21</t>
  </si>
  <si>
    <t xml:space="preserve">Liczba akcji klasy A w obrocie</t>
  </si>
  <si>
    <t xml:space="preserve">szt.</t>
  </si>
  <si>
    <t xml:space="preserve">2026-01-23</t>
  </si>
  <si>
    <t xml:space="preserve">F-22</t>
  </si>
  <si>
    <t xml:space="preserve">Liczba akcji klasy B w obrocie</t>
  </si>
  <si>
    <t xml:space="preserve">F-23</t>
  </si>
  <si>
    <t xml:space="preserve">Efektywna stopa podatkowa (z jednorazowym odpisem związanym z ustawą One Big Beautiful Bill Act)</t>
  </si>
  <si>
    <t xml:space="preserve">ułamek (%)</t>
  </si>
  <si>
    <t xml:space="preserve">F-24</t>
  </si>
  <si>
    <t xml:space="preserve">Prognoza efektywnej stopy podatkowej na 2026 r. - dolna granica</t>
  </si>
  <si>
    <t xml:space="preserve">F-25</t>
  </si>
  <si>
    <t xml:space="preserve">Prognoza efektywnej stopy podatkowej na 2026 r. - górna granica</t>
  </si>
  <si>
    <t xml:space="preserve">F-26</t>
  </si>
  <si>
    <t xml:space="preserve">Plan nakładów inwestycyjnych na 2026 r. - dolna granica</t>
  </si>
  <si>
    <t xml:space="preserve">mld USD</t>
  </si>
  <si>
    <t xml:space="preserve">F-33</t>
  </si>
  <si>
    <t xml:space="preserve">Plan nakładów inwestycyjnych na 2026 r. - górna granica</t>
  </si>
  <si>
    <t xml:space="preserve">F-34</t>
  </si>
  <si>
    <t xml:space="preserve">Gotówka, ekwiwalenty i papiery wartościowe łącznie (raport podaje tę sumę tylko w mld USD)</t>
  </si>
  <si>
    <t xml:space="preserve">F-14</t>
  </si>
  <si>
    <t xml:space="preserve">Wielkości wyliczone</t>
  </si>
  <si>
    <t xml:space="preserve">Formuła</t>
  </si>
  <si>
    <t xml:space="preserve">Gotówka i papiery wartościowe</t>
  </si>
  <si>
    <t xml:space="preserve">F-12 + F-13</t>
  </si>
  <si>
    <t xml:space="preserve">Liczba akcji wszystkich klas</t>
  </si>
  <si>
    <t xml:space="preserve">F-22 + F-23</t>
  </si>
  <si>
    <t xml:space="preserve">mln szt.</t>
  </si>
  <si>
    <t xml:space="preserve">(F-22 + F-23) / 1 mln</t>
  </si>
  <si>
    <t xml:space="preserve">Nakłady inwestycyjne / przychody</t>
  </si>
  <si>
    <t xml:space="preserve">%</t>
  </si>
  <si>
    <t xml:space="preserve">-F-09 / F-01</t>
  </si>
  <si>
    <t xml:space="preserve">Amortyzacja / przychody</t>
  </si>
  <si>
    <t xml:space="preserve">F-08 / F-01</t>
  </si>
  <si>
    <t xml:space="preserve">Efektywna stopa podatkowa (wyliczona)</t>
  </si>
  <si>
    <t xml:space="preserve">F-11 / F-10</t>
  </si>
  <si>
    <t xml:space="preserve">META - założenia modelu DCF</t>
  </si>
  <si>
    <t xml:space="preserve">Niebieskie komórki to założenia z ledgera (Z-..) i dane rynkowe (R-..). Zmiana wartości przelicza cały model. Uzasadnienie w komentarzu komórki i w tabeli poniżej.</t>
  </si>
  <si>
    <t xml:space="preserve">Prognoza</t>
  </si>
  <si>
    <t xml:space="preserve">Po 2030</t>
  </si>
  <si>
    <t xml:space="preserve">   id wpisu</t>
  </si>
  <si>
    <t xml:space="preserve">Z-01</t>
  </si>
  <si>
    <t xml:space="preserve">Z-02</t>
  </si>
  <si>
    <t xml:space="preserve">Z-03</t>
  </si>
  <si>
    <t xml:space="preserve">Z-04</t>
  </si>
  <si>
    <t xml:space="preserve">Z-05</t>
  </si>
  <si>
    <t xml:space="preserve">Z-06</t>
  </si>
  <si>
    <t xml:space="preserve">Z-07</t>
  </si>
  <si>
    <t xml:space="preserve">Z-08</t>
  </si>
  <si>
    <t xml:space="preserve">Z-09</t>
  </si>
  <si>
    <t xml:space="preserve">Z-10</t>
  </si>
  <si>
    <t xml:space="preserve">Z-11</t>
  </si>
  <si>
    <t xml:space="preserve">Z-12</t>
  </si>
  <si>
    <t xml:space="preserve">Z-13</t>
  </si>
  <si>
    <t xml:space="preserve">Z-14</t>
  </si>
  <si>
    <t xml:space="preserve">Z-15</t>
  </si>
  <si>
    <t xml:space="preserve">Z-16</t>
  </si>
  <si>
    <t xml:space="preserve">Z-26</t>
  </si>
  <si>
    <t xml:space="preserve">Z-17</t>
  </si>
  <si>
    <t xml:space="preserve">Z-18</t>
  </si>
  <si>
    <t xml:space="preserve">Z-19</t>
  </si>
  <si>
    <t xml:space="preserve">Z-20</t>
  </si>
  <si>
    <t xml:space="preserve">Z-21</t>
  </si>
  <si>
    <t xml:space="preserve">Z-27</t>
  </si>
  <si>
    <t xml:space="preserve">Pozostałe założenia i dane rynkowe</t>
  </si>
  <si>
    <t xml:space="preserve">Uwagi</t>
  </si>
  <si>
    <t xml:space="preserve">Stopa podatkowa do modelu DCF</t>
  </si>
  <si>
    <t xml:space="preserve">Z-22</t>
  </si>
  <si>
    <t xml:space="preserve">założenie</t>
  </si>
  <si>
    <t xml:space="preserve">Beta akcji META</t>
  </si>
  <si>
    <t xml:space="preserve">Z-23</t>
  </si>
  <si>
    <t xml:space="preserve">Premia za ryzyko rynkowe (USA)</t>
  </si>
  <si>
    <t xml:space="preserve">Z-24</t>
  </si>
  <si>
    <t xml:space="preserve">Wzrost w okresie rezydualnym (po 2030 r.)</t>
  </si>
  <si>
    <t xml:space="preserve">Z-25</t>
  </si>
  <si>
    <t xml:space="preserve">Rentowność 10-letnich obligacji skarbowych USA (seria DGS10)</t>
  </si>
  <si>
    <t xml:space="preserve">R-02</t>
  </si>
  <si>
    <t xml:space="preserve">stan na 2026-10-15, pobrano 2026-10-17</t>
  </si>
  <si>
    <t xml:space="preserve">Kurs zamknięcia akcji META (Nasdaq), ostatnia sesja; zaokrąglony do centów</t>
  </si>
  <si>
    <t xml:space="preserve">R-01</t>
  </si>
  <si>
    <t xml:space="preserve">stan na 2026-10-16, pobrano 2026-10-17</t>
  </si>
  <si>
    <t xml:space="preserve">Koszt kapitału (WACC)</t>
  </si>
  <si>
    <t xml:space="preserve">Koszt kapitału własnego (CAPM)</t>
  </si>
  <si>
    <t xml:space="preserve">stopa wolna od ryzyka + beta × premia za ryzyko</t>
  </si>
  <si>
    <t xml:space="preserve">Dług długoterminowy (mln USD)</t>
  </si>
  <si>
    <t xml:space="preserve">Kapitalizacja rynkowa (mln USD)</t>
  </si>
  <si>
    <t xml:space="preserve">kurs × liczba akcji</t>
  </si>
  <si>
    <t xml:space="preserve">Udział długu w finansowaniu D/(D+E)</t>
  </si>
  <si>
    <t xml:space="preserve">dług / (dług + kapitalizacja)</t>
  </si>
  <si>
    <t xml:space="preserve">Próg istotności długu (parametr modelu)</t>
  </si>
  <si>
    <t xml:space="preserve">powyżej progu dług trzeba ująć w WACC</t>
  </si>
  <si>
    <t xml:space="preserve">Czy dług jest istotny?</t>
  </si>
  <si>
    <t xml:space="preserve">równy kosztowi kapitału własnego, bo dług jest poniżej progu istotności</t>
  </si>
  <si>
    <t xml:space="preserve">Założenie</t>
  </si>
  <si>
    <t xml:space="preserve">Uzasadnienie</t>
  </si>
  <si>
    <t xml:space="preserve">Wzrost przychodów r/r w 2026 r.</t>
  </si>
  <si>
    <t xml:space="preserve">Przychody rosły o ok. 22% w 2025 r. (F-02 -&gt; F-01) i ok. 22% w 2024 r. (F-03 -&gt; F-02). Zakładamy lekkie spowolnienie przy tak dużej skali, a liczba użytkowników (F-28) rosła już tylko o 7%.</t>
  </si>
  <si>
    <t xml:space="preserve">Wzrost przychodów r/r w 2027 r.</t>
  </si>
  <si>
    <t xml:space="preserve">Dalsze stopniowe spowolnienie: przychody prawie w całości pochodzą z reklam (F-35), a rynek reklamy rośnie wolniej niż Meta w ostatnich latach.</t>
  </si>
  <si>
    <t xml:space="preserve">Wzrost przychodów r/r w 2028 r.</t>
  </si>
  <si>
    <t xml:space="preserve">Wzrost dalej słabnie wraz ze skalą biznesu; zakładamy, że AI wspiera skuteczność reklam, ale nie odwraca trendu spowolnienia.</t>
  </si>
  <si>
    <t xml:space="preserve">Wzrost przychodów r/r w 2029 r.</t>
  </si>
  <si>
    <t xml:space="preserve">Kontynuacja łagodnego spowolnienia w stronę dojrzałej spółki.</t>
  </si>
  <si>
    <t xml:space="preserve">Wzrost przychodów r/r w 2030 r.</t>
  </si>
  <si>
    <t xml:space="preserve">Ostatni rok prognozy; wzrost zbliża się do poziomu, z którego da się przejść do okresu rezydualnego (Z-25).</t>
  </si>
  <si>
    <t xml:space="preserve">Marża operacyjna w 2026 r.</t>
  </si>
  <si>
    <t xml:space="preserve">Marża operacyjna w 2025 r. wyniosła 41% (F-27). Rekordowe nakłady (F-33, F-34) podnoszą amortyzację (Z-17 do Z-21), która obniża zysk operacyjny; do tego strata Reality Labs (F-21). Zakładamy marżę przed amortyzacją ok. 50-52% minus rosnąca amortyzacja.</t>
  </si>
  <si>
    <t xml:space="preserve">Marża operacyjna w 2027 r.</t>
  </si>
  <si>
    <t xml:space="preserve">Marża operacyjna w 2028 r.</t>
  </si>
  <si>
    <t xml:space="preserve">Marża operacyjna w 2029 r.</t>
  </si>
  <si>
    <t xml:space="preserve">Marża operacyjna w 2030 r.</t>
  </si>
  <si>
    <t xml:space="preserve">Marża operacyjna w okresie rezydualnym (po 2030 r.)</t>
  </si>
  <si>
    <t xml:space="preserve">Zakładamy, że marża z 2030 r. (Z-10) utrzymuje się, bo amortyzacja w okresie rezydualnym (Z-27) jest taka sama jak w 2030 r.</t>
  </si>
  <si>
    <t xml:space="preserve">Nakłady inwestycyjne jako % przychodów w 2026 r.</t>
  </si>
  <si>
    <t xml:space="preserve">Spółka planuje 115-135 mld USD nakładów w 2026 r. (F-33, F-34); 52% prognozowanych przychodów to ok. 123 mld USD, czyli środek tego przedziału. W 2025 r. nakłady wyniosły ok. 35% przychodów (F-09, F-01).</t>
  </si>
  <si>
    <t xml:space="preserve">Nakłady inwestycyjne jako % przychodów w 2027 r.</t>
  </si>
  <si>
    <t xml:space="preserve">Zakładamy, że nakłady w kwotach pozostają zbliżone do 2026 r., więc jako % szybko rosnących przychodów spadają.</t>
  </si>
  <si>
    <t xml:space="preserve">Nakłady inwestycyjne jako % przychodów w 2028 r.</t>
  </si>
  <si>
    <t xml:space="preserve">Budowa infrastruktury AI stopniowo się kończy; nakłady w kwotach zaczynają spadać.</t>
  </si>
  <si>
    <t xml:space="preserve">Nakłady inwestycyjne jako % przychodów w 2029 r.</t>
  </si>
  <si>
    <t xml:space="preserve">Dalsze zmniejszanie nakładów w stronę poziomu potrzebnego do utrzymania i umiarkowanego wzrostu.</t>
  </si>
  <si>
    <t xml:space="preserve">Nakłady inwestycyjne jako % przychodów w 2030 r.</t>
  </si>
  <si>
    <t xml:space="preserve">Nakłady zbliżają się do poziomu rezydualnego (Z-26), ale wciąż są wyraźnie wyższe niż amortyzacja, bo spółka nadal rośnie.</t>
  </si>
  <si>
    <t xml:space="preserve">Amortyzacja jako % przychodów w 2026 r.</t>
  </si>
  <si>
    <t xml:space="preserve">W 2025 r. amortyzacja wyniosła ok. 9% przychodów i ok. 12,5% średnich aktywów trwałych netto (F-08, F-17, F-16). Nakłady dużo wyższe od amortyzacji (Z-12 do Z-16) powiększają majątek, więc przy tej samej stawce 12,5% amortyzacja rośnie do ok. 16% przychodów.</t>
  </si>
  <si>
    <t xml:space="preserve">Amortyzacja jako % przychodów w 2027 r.</t>
  </si>
  <si>
    <t xml:space="preserve">Amortyzacja jako % przychodów w 2028 r.</t>
  </si>
  <si>
    <t xml:space="preserve">Amortyzacja jako % przychodów w 2029 r.</t>
  </si>
  <si>
    <t xml:space="preserve">Amortyzacja jako % przychodów w 2030 r.</t>
  </si>
  <si>
    <t xml:space="preserve">Spółka oczekuje efektywnej stopy 13-16% w 2026 r. (F-25, F-26). Stopa 30% z 2025 r. (F-24) zawiera jednorazowy odpis, więc jej nie używamy. Bierzemy 15%, blisko górnej granicy, na wypadek zmian przepisów.</t>
  </si>
  <si>
    <t xml:space="preserve">Nie mamy w źródłach wyliczonej bety. Przyjmujemy 1,2, bo duże spółki technologiczne zależne od reklam zwykle są nieco bardziej wrażliwe na rynek niż średnia; warto to później zweryfikować na danych notowań.</t>
  </si>
  <si>
    <t xml:space="preserve">Typowa wartość stosowana dla rynku USA mieści się w przedziale ok. 4-6%; bierzemy środek. Razem z rentownością obligacji (R-02) i betą (Z-23) daje koszt kapitału własnego.</t>
  </si>
  <si>
    <t xml:space="preserve">Dojrzała spółka rośnie mniej więcej w tempie nominalnej gospodarki. Wartość jest wyraźnie niższa niż rentowność 10-letnich obligacji USA (R-02) i niż wzrost w 2030 r. (Z-05).</t>
  </si>
  <si>
    <t xml:space="preserve">Nakłady inwestycyjne jako % przychodów w okresie rezydualnym</t>
  </si>
  <si>
    <t xml:space="preserve">Przy wzroście 3% (Z-25) majątek trwały musi rosnąć ok. 3% rocznie. Majątek netto ma wtedy wartość ok. 1-1,3 rocznych przychodów, więc nakłady powinny przewyższać amortyzację (Z-27) o ok. 3 punkty procentowe przychodów.</t>
  </si>
  <si>
    <t xml:space="preserve">Amortyzacja jako % przychodów w okresie rezydualnym</t>
  </si>
  <si>
    <t xml:space="preserve">Pozostaje na poziomie z 2030 r. (Z-21): majątek zbudowany w latach 2026-2030 dalej się amortyzuje, a nakłady (Z-26) są tylko trochę wyższe niż amortyzacja.</t>
  </si>
  <si>
    <t xml:space="preserve">META - model DCF (mln USD)</t>
  </si>
  <si>
    <t xml:space="preserve">Wszystkie komórki to formuły. Dane wejściowe są w arkuszach 'Założenia' i 'Dane historyczne'. Przepływy dyskontowane na koniec każdego roku od końca 2025 r.</t>
  </si>
  <si>
    <t xml:space="preserve">2025 (raport)</t>
  </si>
  <si>
    <t xml:space="preserve">2026 P</t>
  </si>
  <si>
    <t xml:space="preserve">2027 P</t>
  </si>
  <si>
    <t xml:space="preserve">2028 P</t>
  </si>
  <si>
    <t xml:space="preserve">2029 P</t>
  </si>
  <si>
    <t xml:space="preserve">2030 P</t>
  </si>
  <si>
    <t xml:space="preserve">Rezydualny (2031)</t>
  </si>
  <si>
    <t xml:space="preserve">Okres dyskontowy t (lata)</t>
  </si>
  <si>
    <t xml:space="preserve">Wzrost r/r</t>
  </si>
  <si>
    <t xml:space="preserve">Zysk operacyjny (EBIT)</t>
  </si>
  <si>
    <t xml:space="preserve">Podatek</t>
  </si>
  <si>
    <t xml:space="preserve">NOPAT</t>
  </si>
  <si>
    <t xml:space="preserve">Amortyzacja</t>
  </si>
  <si>
    <t xml:space="preserve">Nakłady inwestycyjne</t>
  </si>
  <si>
    <t xml:space="preserve">Wolne przepływy pieniężne (FCF)</t>
  </si>
  <si>
    <t xml:space="preserve">Czynnik dyskontowy</t>
  </si>
  <si>
    <t xml:space="preserve">Wartość bieżąca FCF</t>
  </si>
  <si>
    <t xml:space="preserve">Wycena</t>
  </si>
  <si>
    <t xml:space="preserve">Suma wartości bieżących FCF 2026-2030</t>
  </si>
  <si>
    <t xml:space="preserve">FCF okresu rezydualnego (rok 2031)</t>
  </si>
  <si>
    <t xml:space="preserve">Wzrost w okresie rezydualnym (g)</t>
  </si>
  <si>
    <t xml:space="preserve">Wartość rezydualna na koniec 2030 (Gordon: FCF 2031 / (WACC - g))</t>
  </si>
  <si>
    <t xml:space="preserve">Wartość bieżąca wartości rezydualnej</t>
  </si>
  <si>
    <t xml:space="preserve">Wartość firmy (EV)</t>
  </si>
  <si>
    <t xml:space="preserve">+ Gotówka i papiery wartościowe</t>
  </si>
  <si>
    <t xml:space="preserve">- Dług długoterminowy</t>
  </si>
  <si>
    <t xml:space="preserve">Wartość kapitału własnego</t>
  </si>
  <si>
    <t xml:space="preserve">Liczba akcji wszystkich klas (mln)</t>
  </si>
  <si>
    <t xml:space="preserve">Wartość jednej akcji (USD)</t>
  </si>
  <si>
    <t xml:space="preserve">META - wartość jednej akcji (USD) przy różnych WACC i wzroście rezydualnym</t>
  </si>
  <si>
    <t xml:space="preserve">Każda komórka liczy pełną wycenę formułą: przepływy 2026-2030 z arkusza DCF, wartość rezydualna dla danego g i WACC, gotówka, dług, liczba akcji. Środek tabeli = wariant bazowy.</t>
  </si>
  <si>
    <t xml:space="preserve">Krok WACC (parametr)</t>
  </si>
  <si>
    <t xml:space="preserve">Krok g (parametr)</t>
  </si>
  <si>
    <t xml:space="preserve">WACC →</t>
  </si>
  <si>
    <t xml:space="preserve">g ↓</t>
  </si>
  <si>
    <t xml:space="preserve">Wartość bazowa (USD)</t>
  </si>
  <si>
    <t xml:space="preserve">Kontrola: środek tabeli = wartość bazowa</t>
  </si>
  <si>
    <t xml:space="preserve">META - ledger: wszystkie wpisy ze źródłem i cytatem</t>
  </si>
  <si>
    <t xml:space="preserve">klasa</t>
  </si>
  <si>
    <t xml:space="preserve">klucz</t>
  </si>
  <si>
    <t xml:space="preserve">opis</t>
  </si>
  <si>
    <t xml:space="preserve">wartość</t>
  </si>
  <si>
    <t xml:space="preserve">jednostka</t>
  </si>
  <si>
    <t xml:space="preserve">okres</t>
  </si>
  <si>
    <t xml:space="preserve">źródło</t>
  </si>
  <si>
    <t xml:space="preserve">strona</t>
  </si>
  <si>
    <t xml:space="preserve">adres</t>
  </si>
  <si>
    <t xml:space="preserve">cytat / uzasadnienie</t>
  </si>
  <si>
    <t xml:space="preserve">fakt</t>
  </si>
  <si>
    <t xml:space="preserve">revenue_2025</t>
  </si>
  <si>
    <t xml:space="preserve">Przychody ogółem</t>
  </si>
  <si>
    <t xml:space="preserve">Meta Platforms, Inc. - raport roczny 10-K za 2025 r.</t>
  </si>
  <si>
    <t xml:space="preserve">89</t>
  </si>
  <si>
    <t xml:space="preserve">https://www.sec.gov/Archives/edgar/data/1326801/000162828026003942/meta-20251231.htm</t>
  </si>
  <si>
    <t xml:space="preserve">Revenue $ 200,966 $ 164,501 $ 134,902</t>
  </si>
  <si>
    <t xml:space="preserve">revenue_2024</t>
  </si>
  <si>
    <t xml:space="preserve">revenue_2023</t>
  </si>
  <si>
    <t xml:space="preserve">operating_income_2025</t>
  </si>
  <si>
    <t xml:space="preserve">Income from operations 83,276 69,380 46,751</t>
  </si>
  <si>
    <t xml:space="preserve">operating_income_2024</t>
  </si>
  <si>
    <t xml:space="preserve">operating_income_2023</t>
  </si>
  <si>
    <t xml:space="preserve">net_income_2025</t>
  </si>
  <si>
    <t xml:space="preserve">Net income $ 60,458 $ 62,360 $ 39,098</t>
  </si>
  <si>
    <t xml:space="preserve">depreciation_amortization_2025</t>
  </si>
  <si>
    <t xml:space="preserve">92</t>
  </si>
  <si>
    <t xml:space="preserve">Depreciation and amortization 18,616 15,498 11,178</t>
  </si>
  <si>
    <t xml:space="preserve">capex_2025</t>
  </si>
  <si>
    <t xml:space="preserve">Purchases of property and equipment (69,691) (37,256) (27,045)</t>
  </si>
  <si>
    <t xml:space="preserve">income_before_tax_2025</t>
  </si>
  <si>
    <t xml:space="preserve">Income before provision for income taxes 85,932 70,663 47,428</t>
  </si>
  <si>
    <t xml:space="preserve">income_tax_2025</t>
  </si>
  <si>
    <t xml:space="preserve">Provision for income taxes 25,474 8,303 8,330</t>
  </si>
  <si>
    <t xml:space="preserve">cash_and_equivalents_2025</t>
  </si>
  <si>
    <t xml:space="preserve">88</t>
  </si>
  <si>
    <t xml:space="preserve">Cash and cash equivalents $ 35,873 $ 43,889</t>
  </si>
  <si>
    <t xml:space="preserve">marketable_securities_2025</t>
  </si>
  <si>
    <t xml:space="preserve">Marketable securities 45,719 33,926</t>
  </si>
  <si>
    <t xml:space="preserve">cash_and_marketable_securities_2025</t>
  </si>
  <si>
    <t xml:space="preserve">77</t>
  </si>
  <si>
    <t xml:space="preserve">Cash, cash equivalents, and marketable securities were $81.59 billion as of December 31, 2025</t>
  </si>
  <si>
    <t xml:space="preserve">long_term_debt_2025</t>
  </si>
  <si>
    <t xml:space="preserve">Long-term debt 58,744 28,826</t>
  </si>
  <si>
    <t xml:space="preserve">ppe_net_2025</t>
  </si>
  <si>
    <t xml:space="preserve">Property and equipment, net 176,400 121,346</t>
  </si>
  <si>
    <t xml:space="preserve">ppe_net_2024</t>
  </si>
  <si>
    <t xml:space="preserve">foa_revenue_2025</t>
  </si>
  <si>
    <t xml:space="preserve">126</t>
  </si>
  <si>
    <t xml:space="preserve">Family of Apps: Revenue $ 198,759 $ 162,355 $ 133,006</t>
  </si>
  <si>
    <t xml:space="preserve">foa_operating_income_2025</t>
  </si>
  <si>
    <t xml:space="preserve">Income from operations $ 102,469 $ 87,109 $ 62,871</t>
  </si>
  <si>
    <t xml:space="preserve">rl_revenue_2025</t>
  </si>
  <si>
    <t xml:space="preserve">Reality Labs: Revenue $ 2,207 $ 2,146 $ 1,896</t>
  </si>
  <si>
    <t xml:space="preserve">rl_operating_income_2025</t>
  </si>
  <si>
    <t xml:space="preserve">Loss from operations $ (19,193) $ (17,729) $ (16,120)</t>
  </si>
  <si>
    <t xml:space="preserve">shares_class_a</t>
  </si>
  <si>
    <t xml:space="preserve">okładka (bez numeru)</t>
  </si>
  <si>
    <t xml:space="preserve">On January 23, 2026, the registrant had 2,187,177,748 shares of Class A common stock and 342,377,716 shares of Class B common stock outstanding.</t>
  </si>
  <si>
    <t xml:space="preserve">shares_class_b</t>
  </si>
  <si>
    <t xml:space="preserve">effective_tax_rate_2025</t>
  </si>
  <si>
    <t xml:space="preserve">61</t>
  </si>
  <si>
    <t xml:space="preserve">Effective tax rate was 30% for the year ended December 31, 2025.</t>
  </si>
  <si>
    <t xml:space="preserve">effective_tax_rate_guidance_2026_low</t>
  </si>
  <si>
    <t xml:space="preserve">Absent any changes to our tax landscape, we expect our effective tax rate for the full year 2026 to be in the range of 13-16%.</t>
  </si>
  <si>
    <t xml:space="preserve">effective_tax_rate_guidance_2026_high</t>
  </si>
  <si>
    <t xml:space="preserve">F-27</t>
  </si>
  <si>
    <t xml:space="preserve">operating_margin_2025</t>
  </si>
  <si>
    <t xml:space="preserve">Marża operacyjna spółki (zaokrąglona w raporcie)</t>
  </si>
  <si>
    <t xml:space="preserve">Operating margin 52 % 54 % (870) % (826) % 41 % 42 %</t>
  </si>
  <si>
    <t xml:space="preserve">F-28</t>
  </si>
  <si>
    <t xml:space="preserve">family_daily_active_people_dec_2025</t>
  </si>
  <si>
    <t xml:space="preserve">Dzienna liczba aktywnych osób we wszystkich aplikacjach (DAP), średnio w grudniu 2025</t>
  </si>
  <si>
    <t xml:space="preserve">mld osób</t>
  </si>
  <si>
    <t xml:space="preserve">2025-12</t>
  </si>
  <si>
    <t xml:space="preserve">Family daily active people (DAP) was 3.58 billion on average for December 2025, an increase of 7% year-over-year.</t>
  </si>
  <si>
    <t xml:space="preserve">F-29</t>
  </si>
  <si>
    <t xml:space="preserve">superintelligence_vision</t>
  </si>
  <si>
    <t xml:space="preserve">Cel w AI: budowa superinteligencji, czyli AI przewyższającej ludzką inteligencję</t>
  </si>
  <si>
    <t xml:space="preserve">superintelligence</t>
  </si>
  <si>
    <t xml:space="preserve">n/d</t>
  </si>
  <si>
    <t xml:space="preserve">6</t>
  </si>
  <si>
    <t xml:space="preserve">We are also working to develop the next generation of AI models and advance our vision to build superintelligence, which we define as AI that surpasses human intelligence.</t>
  </si>
  <si>
    <t xml:space="preserve">F-30</t>
  </si>
  <si>
    <t xml:space="preserve">meta_ray_ban_display_launch</t>
  </si>
  <si>
    <t xml:space="preserve">Nowy produkt: okulary AI z wyświetlaczem w szkle, wprowadzone w 2025 r.</t>
  </si>
  <si>
    <t xml:space="preserve">Meta Ray-Ban Display</t>
  </si>
  <si>
    <t xml:space="preserve">7</t>
  </si>
  <si>
    <t xml:space="preserve">In 2025, we introduced Meta Ray-Ban Display, which combines our AI glasses with an integrated display built into the lens.</t>
  </si>
  <si>
    <t xml:space="preserve">F-31</t>
  </si>
  <si>
    <t xml:space="preserve">rl_wearables_opex_share_2026</t>
  </si>
  <si>
    <t xml:space="preserve">Planowany udział urządzeń noszonych (wearables) w kosztach operacyjnych Reality Labs w 2026 r.</t>
  </si>
  <si>
    <t xml:space="preserve">In 2026, we expect to spend approximately 70% of our Reality Labs operating expenses on our wearables initiatives, and the remaining 30% on our VR and Horizon initiatives.</t>
  </si>
  <si>
    <t xml:space="preserve">F-32</t>
  </si>
  <si>
    <t xml:space="preserve">data_center_locations</t>
  </si>
  <si>
    <t xml:space="preserve">Liczba własnych lokalizacji centrów danych na świecie</t>
  </si>
  <si>
    <t xml:space="preserve">51</t>
  </si>
  <si>
    <t xml:space="preserve">We own 30 data center locations globally and we also lease some data centers at selected locations.</t>
  </si>
  <si>
    <t xml:space="preserve">capex_guidance_2026_low</t>
  </si>
  <si>
    <t xml:space="preserve">We anticipate making capital expenditures of approximately $115 billion to $135 billion in 2026 to support our AI efforts and core business.</t>
  </si>
  <si>
    <t xml:space="preserve">capex_guidance_2026_high</t>
  </si>
  <si>
    <t xml:space="preserve">F-35</t>
  </si>
  <si>
    <t xml:space="preserve">risk_advertising_dependence</t>
  </si>
  <si>
    <t xml:space="preserve">Ryzyko: niemal wszystkie przychody pochodzą z reklam; odejście reklamodawców lub cięcie ich wydatków mocno zaszkodzi spółce</t>
  </si>
  <si>
    <t xml:space="preserve">zależność od reklam</t>
  </si>
  <si>
    <t xml:space="preserve">15</t>
  </si>
  <si>
    <t xml:space="preserve">We generate substantially all of our revenue from advertising. The loss of marketers, or reduction in spending by marketers, could seriously harm our business.</t>
  </si>
  <si>
    <t xml:space="preserve">F-36</t>
  </si>
  <si>
    <t xml:space="preserve">risk_ai_investments</t>
  </si>
  <si>
    <t xml:space="preserve">Ryzyko: duże inwestycje, zwłaszcza w AI i Reality Labs, obniżają marżę operacyjną i rentowność; jeśli w dłuższym terminie się nie powiodą, ucierpią biznes i wyniki finansowe</t>
  </si>
  <si>
    <t xml:space="preserve">inwestycje w AI</t>
  </si>
  <si>
    <t xml:space="preserve">26</t>
  </si>
  <si>
    <t xml:space="preserve">We incur significant expenses in operating our business, and some of our investments, particularly our investments in our artificial intelligence initiatives as well as Reality Labs, have the effect of reducing our operating margin and profitability. If our investments are not successful longer-term, our business and financial performance will be harmed.</t>
  </si>
  <si>
    <t xml:space="preserve">F-37</t>
  </si>
  <si>
    <t xml:space="preserve">risk_regulation</t>
  </si>
  <si>
    <t xml:space="preserve">Ryzyko: złożone i zmieniające się przepisy w USA i za granicą (prywatność, dane, konkurencja, AI)</t>
  </si>
  <si>
    <t xml:space="preserve">regulacje</t>
  </si>
  <si>
    <t xml:space="preserve">12</t>
  </si>
  <si>
    <t xml:space="preserve">complex and evolving U.S. and foreign privacy, data use, data combination, data protection, content and content moderation, competition, youth, safety, consumer protection, advertising, and other laws and regulations, including the General Data Protection Regulation (GDPR), Digital Markets Act (DMA), Digital Services Act (DSA), UK Online Safety Act (OSA), Artificial Intelligence Act (EU AI Act), and the UK Digital Markets, Competition and Consumer Act (DMCC);</t>
  </si>
  <si>
    <t xml:space="preserve">dana_rynkowa</t>
  </si>
  <si>
    <t xml:space="preserve">share_price</t>
  </si>
  <si>
    <t xml:space="preserve">USD</t>
  </si>
  <si>
    <t xml:space="preserve">2026-10-16</t>
  </si>
  <si>
    <t xml:space="preserve">Yahoo Finance - chart API (odpowiedź JSON)</t>
  </si>
  <si>
    <t xml:space="preserve">n/d (www)</t>
  </si>
  <si>
    <t xml:space="preserve">https://query1.finance.yahoo.com/v8/finance/chart/META?range=5d&amp;interval=1d</t>
  </si>
  <si>
    <t xml:space="preserve">"close": [ 742.9600219726562, 762.5, 737.5399780273438, 736.719970703125, 709.3300170898438 ]</t>
  </si>
  <si>
    <t xml:space="preserve">us_treasury_10y_yield</t>
  </si>
  <si>
    <t xml:space="preserve">2026-10-15</t>
  </si>
  <si>
    <t xml:space="preserve">FRED, Federal Reserve Bank of St. Louis - seria DGS10 (CSV)</t>
  </si>
  <si>
    <t xml:space="preserve">https://fred.stlouisfed.org/graph/fredgraph.csv?id=DGS10</t>
  </si>
  <si>
    <t xml:space="preserve">2026-10-15,5.10</t>
  </si>
  <si>
    <t xml:space="preserve">zalozenie</t>
  </si>
  <si>
    <t xml:space="preserve">revenue_growth_2026</t>
  </si>
  <si>
    <t xml:space="preserve">revenue_growth_2027</t>
  </si>
  <si>
    <t xml:space="preserve">revenue_growth_2028</t>
  </si>
  <si>
    <t xml:space="preserve">revenue_growth_2029</t>
  </si>
  <si>
    <t xml:space="preserve">revenue_growth_2030</t>
  </si>
  <si>
    <t xml:space="preserve">operating_margin_2026</t>
  </si>
  <si>
    <t xml:space="preserve">operating_margin_2027</t>
  </si>
  <si>
    <t xml:space="preserve">operating_margin_2028</t>
  </si>
  <si>
    <t xml:space="preserve">operating_margin_2029</t>
  </si>
  <si>
    <t xml:space="preserve">operating_margin_2030</t>
  </si>
  <si>
    <t xml:space="preserve">operating_margin_terminal</t>
  </si>
  <si>
    <t xml:space="preserve">po 2030</t>
  </si>
  <si>
    <t xml:space="preserve">capex_pct_revenue_2026</t>
  </si>
  <si>
    <t xml:space="preserve">capex_pct_revenue_2027</t>
  </si>
  <si>
    <t xml:space="preserve">capex_pct_revenue_2028</t>
  </si>
  <si>
    <t xml:space="preserve">capex_pct_revenue_2029</t>
  </si>
  <si>
    <t xml:space="preserve">capex_pct_revenue_2030</t>
  </si>
  <si>
    <t xml:space="preserve">da_pct_revenue_2026</t>
  </si>
  <si>
    <t xml:space="preserve">da_pct_revenue_2027</t>
  </si>
  <si>
    <t xml:space="preserve">da_pct_revenue_2028</t>
  </si>
  <si>
    <t xml:space="preserve">da_pct_revenue_2029</t>
  </si>
  <si>
    <t xml:space="preserve">da_pct_revenue_2030</t>
  </si>
  <si>
    <t xml:space="preserve">tax_rate</t>
  </si>
  <si>
    <t xml:space="preserve">2026-2030 i po 2030</t>
  </si>
  <si>
    <t xml:space="preserve">beta</t>
  </si>
  <si>
    <t xml:space="preserve">equity_risk_premium</t>
  </si>
  <si>
    <t xml:space="preserve">terminal_growth</t>
  </si>
  <si>
    <t xml:space="preserve">capex_pct_revenue_terminal</t>
  </si>
  <si>
    <t xml:space="preserve">da_pct_revenue_terminal</t>
  </si>
  <si>
    <t xml:space="preserve">G-01</t>
  </si>
  <si>
    <t xml:space="preserve">grafika</t>
  </si>
  <si>
    <t xml:space="preserve">photo_ai_glasses</t>
  </si>
  <si>
    <t xml:space="preserve">Okulary AI Ray-Ban Meta (1. generacja) z etui ładującym</t>
  </si>
  <si>
    <t xml:space="preserve">META/zrodla/grafiki/ray-ban-meta-gen-1-smart-glasses-with-charging-case.jpg</t>
  </si>
  <si>
    <t xml:space="preserve">Wikimedia Commons</t>
  </si>
  <si>
    <t xml:space="preserve">https://commons.wikimedia.org/wiki/File:Ray-Ban_Meta_Gen_1_smart_glasses_with_charging_case.jpg</t>
  </si>
  <si>
    <t xml:space="preserve">autor: CCadio; licencja: CC BY 4.0</t>
  </si>
  <si>
    <t xml:space="preserve">G-02</t>
  </si>
  <si>
    <t xml:space="preserve">photo_vr_headset</t>
  </si>
  <si>
    <t xml:space="preserve">Gogle VR Meta Quest 3 z kontrolerami</t>
  </si>
  <si>
    <t xml:space="preserve">META/zrodla/grafiki/meta-quest-3-front-view.jpg</t>
  </si>
  <si>
    <t xml:space="preserve">https://commons.wikimedia.org/wiki/File:Meta_Quest_3_front_View.jpg</t>
  </si>
  <si>
    <t xml:space="preserve">autor: Roy.wonder.cohen; licencja: CC BY-SA 4.0</t>
  </si>
  <si>
    <t xml:space="preserve">G-03</t>
  </si>
  <si>
    <t xml:space="preserve">photo_data_center</t>
  </si>
  <si>
    <t xml:space="preserve">Centrum danych Meta (dawniej Facebook) w Prineville w stanie Oregon, USA</t>
  </si>
  <si>
    <t xml:space="preserve">META/zrodla/grafiki/facebook-highway-126-prineville-dpla-fd9c0cae95b43c5864c55d3eef1bf5a6.jpg</t>
  </si>
  <si>
    <t xml:space="preserve">https://commons.wikimedia.org/wiki/File:Facebook,_Highway_126,_Prineville_-_DPLA_-_fd9c0cae95b43c5864c55d3eef1bf5a6.jpg</t>
  </si>
  <si>
    <t xml:space="preserve">autor: Gary Halvorson, Oregon State Archives; licencja: CC BY 4.0</t>
  </si>
</sst>
</file>

<file path=xl/styles.xml><?xml version="1.0" encoding="utf-8"?>
<styleSheet xmlns="http://schemas.openxmlformats.org/spreadsheetml/2006/main">
  <numFmts count="13">
    <numFmt numFmtId="164" formatCode="General"/>
    <numFmt numFmtId="165" formatCode="\$#,##0.00;&quot;($&quot;#,##0.00\);\-"/>
    <numFmt numFmtId="166" formatCode="0.0%;\(0.0%\);\-"/>
    <numFmt numFmtId="167" formatCode="#,##0;\(#,##0\);\-"/>
    <numFmt numFmtId="168" formatCode="0.00"/>
    <numFmt numFmtId="169" formatCode="#,##0"/>
    <numFmt numFmtId="170" formatCode="0%"/>
    <numFmt numFmtId="171" formatCode="#,##0.00"/>
    <numFmt numFmtId="172" formatCode="#,##0.0"/>
    <numFmt numFmtId="173" formatCode="0.00%"/>
    <numFmt numFmtId="174" formatCode="0"/>
    <numFmt numFmtId="175" formatCode="0.0000"/>
    <numFmt numFmtId="176" formatCode="#,##0.##"/>
  </numFmts>
  <fonts count="15">
    <font>
      <sz val="11"/>
      <color theme="1"/>
      <name val="Calibri"/>
      <family val="2"/>
      <charset val="1"/>
    </font>
    <font>
      <sz val="10"/>
      <name val="Arial"/>
      <family val="0"/>
      <charset val="238"/>
    </font>
    <font>
      <sz val="10"/>
      <name val="Arial"/>
      <family val="0"/>
      <charset val="238"/>
    </font>
    <font>
      <sz val="10"/>
      <name val="Arial"/>
      <family val="0"/>
      <charset val="238"/>
    </font>
    <font>
      <b val="true"/>
      <sz val="14"/>
      <name val="Arial"/>
      <family val="0"/>
      <charset val="1"/>
    </font>
    <font>
      <sz val="9"/>
      <color rgb="FF808080"/>
      <name val="Arial"/>
      <family val="0"/>
      <charset val="1"/>
    </font>
    <font>
      <b val="true"/>
      <sz val="11"/>
      <color rgb="FFFFFFFF"/>
      <name val="Arial"/>
      <family val="0"/>
      <charset val="1"/>
    </font>
    <font>
      <b val="true"/>
      <sz val="11"/>
      <name val="Arial"/>
      <family val="0"/>
      <charset val="1"/>
    </font>
    <font>
      <sz val="11"/>
      <color rgb="FF008000"/>
      <name val="Arial"/>
      <family val="0"/>
      <charset val="1"/>
    </font>
    <font>
      <sz val="11"/>
      <name val="Arial"/>
      <family val="0"/>
      <charset val="1"/>
    </font>
    <font>
      <b val="true"/>
      <sz val="18"/>
      <color rgb="FF000000"/>
      <name val="Calibri"/>
      <family val="2"/>
    </font>
    <font>
      <sz val="10"/>
      <color rgb="FF000000"/>
      <name val="Calibri"/>
      <family val="2"/>
    </font>
    <font>
      <b val="true"/>
      <sz val="10"/>
      <color rgb="FF000000"/>
      <name val="Calibri"/>
      <family val="2"/>
    </font>
    <font>
      <sz val="11"/>
      <color rgb="FF0000FF"/>
      <name val="Arial"/>
      <family val="0"/>
      <charset val="1"/>
    </font>
    <font>
      <sz val="10"/>
      <name val="Arial"/>
      <family val="2"/>
      <charset val="238"/>
    </font>
  </fonts>
  <fills count="6">
    <fill>
      <patternFill patternType="none"/>
    </fill>
    <fill>
      <patternFill patternType="gray125"/>
    </fill>
    <fill>
      <patternFill patternType="solid">
        <fgColor rgb="FF1F3864"/>
        <bgColor rgb="FF333333"/>
      </patternFill>
    </fill>
    <fill>
      <patternFill patternType="solid">
        <fgColor rgb="FFE2EFDA"/>
        <bgColor rgb="FFD9E1F2"/>
      </patternFill>
    </fill>
    <fill>
      <patternFill patternType="solid">
        <fgColor rgb="FFFFFF00"/>
        <bgColor rgb="FFFFFF00"/>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71" fontId="13"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8" fontId="13" fillId="4" borderId="1" xfId="0" applyFont="true" applyBorder="true" applyAlignment="false" applyProtection="false">
      <alignment horizontal="general" vertical="bottom" textRotation="0" wrapText="false" indent="0" shrinkToFit="false"/>
      <protection locked="true" hidden="false"/>
    </xf>
    <xf numFmtId="173"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75" fontId="9"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76" fontId="9"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BE4B48"/>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4F81BD"/>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Przychody 2023-2025 i prognoza 2026-2030 (mln USD) oraz marża operacyjna</a:t>
            </a:r>
          </a:p>
        </c:rich>
      </c:tx>
      <c:overlay val="0"/>
      <c:spPr>
        <a:noFill/>
        <a:ln w="0">
          <a:noFill/>
        </a:ln>
      </c:spPr>
    </c:title>
    <c:autoTitleDeleted val="0"/>
    <c:plotArea>
      <c:barChart>
        <c:barDir val="col"/>
        <c:grouping val="clustered"/>
        <c:varyColors val="0"/>
        <c:ser>
          <c:idx val="0"/>
          <c:order val="0"/>
          <c:tx>
            <c:strRef>
              <c:f>Podsumowanie!E28</c:f>
              <c:strCache>
                <c:ptCount val="1"/>
                <c:pt idx="0">
                  <c:v>Przychody (mln USD)</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Podsumowanie!$D$29:$D$36</c:f>
              <c:strCache>
                <c:ptCount val="8"/>
                <c:pt idx="0">
                  <c:v>2023</c:v>
                </c:pt>
                <c:pt idx="1">
                  <c:v>2024</c:v>
                </c:pt>
                <c:pt idx="2">
                  <c:v>2025</c:v>
                </c:pt>
                <c:pt idx="3">
                  <c:v>2026</c:v>
                </c:pt>
                <c:pt idx="4">
                  <c:v>2027</c:v>
                </c:pt>
                <c:pt idx="5">
                  <c:v>2028</c:v>
                </c:pt>
                <c:pt idx="6">
                  <c:v>2029</c:v>
                </c:pt>
                <c:pt idx="7">
                  <c:v>2030</c:v>
                </c:pt>
              </c:strCache>
            </c:strRef>
          </c:cat>
          <c:val>
            <c:numRef>
              <c:f>Podsumowanie!$E$29:$E$36</c:f>
              <c:numCache>
                <c:formatCode>#,##0;\(#,##0\);\-</c:formatCode>
                <c:ptCount val="8"/>
                <c:pt idx="0">
                  <c:v>134902</c:v>
                </c:pt>
                <c:pt idx="1">
                  <c:v>164501</c:v>
                </c:pt>
                <c:pt idx="2">
                  <c:v>200966</c:v>
                </c:pt>
                <c:pt idx="3">
                  <c:v>237139.88</c:v>
                </c:pt>
                <c:pt idx="4">
                  <c:v>272710.862</c:v>
                </c:pt>
                <c:pt idx="5">
                  <c:v>305436.16544</c:v>
                </c:pt>
                <c:pt idx="6">
                  <c:v>335979.781984</c:v>
                </c:pt>
                <c:pt idx="7">
                  <c:v>362858.16454272</c:v>
                </c:pt>
              </c:numCache>
            </c:numRef>
          </c:val>
        </c:ser>
        <c:gapWidth val="150"/>
        <c:overlap val="0"/>
        <c:axId val="59308232"/>
        <c:axId val="61735320"/>
      </c:barChart>
      <c:lineChart>
        <c:grouping val="standard"/>
        <c:varyColors val="0"/>
        <c:ser>
          <c:idx val="1"/>
          <c:order val="1"/>
          <c:tx>
            <c:strRef>
              <c:f>Podsumowanie!F28</c:f>
              <c:strCache>
                <c:ptCount val="1"/>
                <c:pt idx="0">
                  <c:v>Marża operacyjna</c:v>
                </c:pt>
              </c:strCache>
            </c:strRef>
          </c:tx>
          <c:spPr>
            <a:solidFill>
              <a:srgbClr val="BE4B48"/>
            </a:solidFill>
            <a:ln w="12600">
              <a:solidFill>
                <a:srgbClr val="BE4B48"/>
              </a:solidFill>
              <a:round/>
            </a:ln>
          </c:spPr>
          <c:marker>
            <c:symbol val="circle"/>
            <c:size val="5"/>
            <c:spPr>
              <a:solidFill>
                <a:srgbClr val="BE4B48"/>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Podsumowanie!$D$29:$D$36</c:f>
              <c:strCache>
                <c:ptCount val="8"/>
                <c:pt idx="0">
                  <c:v>2023</c:v>
                </c:pt>
                <c:pt idx="1">
                  <c:v>2024</c:v>
                </c:pt>
                <c:pt idx="2">
                  <c:v>2025</c:v>
                </c:pt>
                <c:pt idx="3">
                  <c:v>2026</c:v>
                </c:pt>
                <c:pt idx="4">
                  <c:v>2027</c:v>
                </c:pt>
                <c:pt idx="5">
                  <c:v>2028</c:v>
                </c:pt>
                <c:pt idx="6">
                  <c:v>2029</c:v>
                </c:pt>
                <c:pt idx="7">
                  <c:v>2030</c:v>
                </c:pt>
              </c:strCache>
            </c:strRef>
          </c:cat>
          <c:val>
            <c:numRef>
              <c:f>Podsumowanie!$F$29:$F$36</c:f>
              <c:numCache>
                <c:formatCode>0.0%;\(0.0%\);\-</c:formatCode>
                <c:ptCount val="8"/>
                <c:pt idx="0">
                  <c:v>0.346555277164164</c:v>
                </c:pt>
                <c:pt idx="1">
                  <c:v>0.421760354040401</c:v>
                </c:pt>
                <c:pt idx="2">
                  <c:v>0.414378551595792</c:v>
                </c:pt>
                <c:pt idx="3">
                  <c:v>0.38</c:v>
                </c:pt>
                <c:pt idx="4">
                  <c:v>0.37</c:v>
                </c:pt>
                <c:pt idx="5">
                  <c:v>0.36</c:v>
                </c:pt>
                <c:pt idx="6">
                  <c:v>0.36</c:v>
                </c:pt>
                <c:pt idx="7">
                  <c:v>0.36</c:v>
                </c:pt>
              </c:numCache>
            </c:numRef>
          </c:val>
          <c:smooth val="1"/>
        </c:ser>
        <c:hiLowLines>
          <c:spPr>
            <a:ln w="0">
              <a:noFill/>
            </a:ln>
          </c:spPr>
        </c:hiLowLines>
        <c:marker val="1"/>
        <c:axId val="64188474"/>
        <c:axId val="89454082"/>
      </c:lineChart>
      <c:catAx>
        <c:axId val="5930823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1735320"/>
        <c:crosses val="autoZero"/>
        <c:auto val="1"/>
        <c:lblAlgn val="ctr"/>
        <c:lblOffset val="100"/>
        <c:noMultiLvlLbl val="0"/>
      </c:catAx>
      <c:valAx>
        <c:axId val="61735320"/>
        <c:scaling>
          <c:orientation val="minMax"/>
        </c:scaling>
        <c:delete val="0"/>
        <c:axPos val="l"/>
        <c:title>
          <c:tx>
            <c:rich>
              <a:bodyPr rot="-5400000"/>
              <a:lstStyle/>
              <a:p>
                <a:pPr>
                  <a:defRPr sz="1300" b="0" u="none" strike="noStrike">
                    <a:uFillTx/>
                    <a:latin typeface="Arial"/>
                  </a:defRPr>
                </a:pPr>
                <a:r>
                  <a:rPr sz="1000" b="1" u="none" strike="noStrike">
                    <a:solidFill>
                      <a:srgbClr val="000000"/>
                    </a:solidFill>
                    <a:uFillTx/>
                    <a:latin typeface="Calibri"/>
                  </a:rPr>
                  <a:t>mln 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9308232"/>
        <c:crosses val="autoZero"/>
        <c:crossBetween val="between"/>
      </c:valAx>
      <c:catAx>
        <c:axId val="64188474"/>
        <c:scaling>
          <c:orientation val="minMax"/>
        </c:scaling>
        <c:delete val="0"/>
        <c:axPos val="t"/>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9454082"/>
        <c:crosses val="autoZero"/>
        <c:auto val="1"/>
        <c:lblAlgn val="ctr"/>
        <c:lblOffset val="100"/>
        <c:noMultiLvlLbl val="0"/>
      </c:catAx>
      <c:valAx>
        <c:axId val="89454082"/>
        <c:scaling>
          <c:orientation val="minMax"/>
        </c:scaling>
        <c:delete val="0"/>
        <c:axPos val="r"/>
        <c:title>
          <c:tx>
            <c:rich>
              <a:bodyPr rot="-5400000"/>
              <a:lstStyle/>
              <a:p>
                <a:pPr>
                  <a:defRPr sz="1300" b="0" u="none" strike="noStrike">
                    <a:uFillTx/>
                    <a:latin typeface="Arial"/>
                  </a:defRPr>
                </a:pPr>
                <a:r>
                  <a:rPr sz="1000" b="1" u="none" strike="noStrike">
                    <a:solidFill>
                      <a:srgbClr val="000000"/>
                    </a:solidFill>
                    <a:uFillTx/>
                    <a:latin typeface="Calibri"/>
                  </a:rPr>
                  <a:t>Marża operacyjna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4188474"/>
        <c:crosses val="max"/>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Wolne przepływy pieniężne (FCF) w prognozie, mln USD</a:t>
            </a:r>
          </a:p>
        </c:rich>
      </c:tx>
      <c:overlay val="0"/>
      <c:spPr>
        <a:noFill/>
        <a:ln w="0">
          <a:noFill/>
        </a:ln>
      </c:spPr>
    </c:title>
    <c:autoTitleDeleted val="0"/>
    <c:plotArea>
      <c:barChart>
        <c:barDir val="col"/>
        <c:grouping val="clustered"/>
        <c:varyColors val="0"/>
        <c:ser>
          <c:idx val="0"/>
          <c:order val="0"/>
          <c:spPr>
            <a:solidFill>
              <a:srgbClr val="1F3864"/>
            </a:solidFill>
            <a:ln w="12600">
              <a:noFill/>
            </a:ln>
          </c:spPr>
          <c:invertIfNegative val="0"/>
          <c:dLbls>
            <c:numFmt formatCode="#,##0" sourceLinked="1"/>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Podsumowanie!$D$32:$D$36</c:f>
              <c:strCache>
                <c:ptCount val="5"/>
                <c:pt idx="0">
                  <c:v>2026</c:v>
                </c:pt>
                <c:pt idx="1">
                  <c:v>2027</c:v>
                </c:pt>
                <c:pt idx="2">
                  <c:v>2028</c:v>
                </c:pt>
                <c:pt idx="3">
                  <c:v>2029</c:v>
                </c:pt>
                <c:pt idx="4">
                  <c:v>2030</c:v>
                </c:pt>
              </c:strCache>
            </c:strRef>
          </c:cat>
          <c:val>
            <c:numRef>
              <c:f>Podsumowanie!$G$32:$G$36</c:f>
              <c:numCache>
                <c:formatCode>#,##0;\(#,##0\);\-</c:formatCode>
                <c:ptCount val="5"/>
                <c:pt idx="0">
                  <c:v>-18259.77076</c:v>
                </c:pt>
                <c:pt idx="1">
                  <c:v>1227.198879</c:v>
                </c:pt>
                <c:pt idx="2">
                  <c:v>26267.51022784</c:v>
                </c:pt>
                <c:pt idx="3">
                  <c:v>62492.239449024</c:v>
                </c:pt>
                <c:pt idx="4">
                  <c:v>89263.1084775091</c:v>
                </c:pt>
              </c:numCache>
            </c:numRef>
          </c:val>
        </c:ser>
        <c:gapWidth val="150"/>
        <c:overlap val="0"/>
        <c:axId val="13157143"/>
        <c:axId val="77116738"/>
      </c:barChart>
      <c:catAx>
        <c:axId val="13157143"/>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sz="1000" b="0" u="none" strike="noStrike">
                <a:solidFill>
                  <a:srgbClr val="000000"/>
                </a:solidFill>
                <a:uFillTx/>
                <a:latin typeface="Calibri"/>
              </a:defRPr>
            </a:pPr>
          </a:p>
        </c:txPr>
        <c:crossAx val="77116738"/>
        <c:crosses val="autoZero"/>
        <c:auto val="1"/>
        <c:lblAlgn val="ctr"/>
        <c:lblOffset val="100"/>
        <c:noMultiLvlLbl val="0"/>
      </c:catAx>
      <c:valAx>
        <c:axId val="77116738"/>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157143"/>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Od wartości firmy do wartości kapitału własnego (mln USD)</a:t>
            </a:r>
          </a:p>
        </c:rich>
      </c:tx>
      <c:overlay val="0"/>
      <c:spPr>
        <a:noFill/>
        <a:ln w="0">
          <a:noFill/>
        </a:ln>
      </c:spPr>
    </c:title>
    <c:autoTitleDeleted val="0"/>
    <c:plotArea>
      <c:barChart>
        <c:barDir val="col"/>
        <c:grouping val="stacked"/>
        <c:varyColors val="0"/>
        <c:ser>
          <c:idx val="0"/>
          <c:order val="0"/>
          <c:spPr>
            <a:no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Podsumowanie!$D$40:$D$45</c:f>
              <c:strCache>
                <c:ptCount val="6"/>
                <c:pt idx="0">
                  <c:v>PV FCF 2026-2030</c:v>
                </c:pt>
                <c:pt idx="1">
                  <c:v>PV wartości rezydualnej</c:v>
                </c:pt>
                <c:pt idx="2">
                  <c:v>Wartość firmy</c:v>
                </c:pt>
                <c:pt idx="3">
                  <c:v>+ Gotówka i papiery</c:v>
                </c:pt>
                <c:pt idx="4">
                  <c:v>- Dług</c:v>
                </c:pt>
                <c:pt idx="5">
                  <c:v>Kapitał własny</c:v>
                </c:pt>
              </c:strCache>
            </c:strRef>
          </c:cat>
          <c:val>
            <c:numRef>
              <c:f>Podsumowanie!$E$40:$E$45</c:f>
              <c:numCache>
                <c:formatCode>#,##0;\(#,##0\);\-</c:formatCode>
                <c:ptCount val="6"/>
                <c:pt idx="0">
                  <c:v>0</c:v>
                </c:pt>
                <c:pt idx="1">
                  <c:v>97466.4516963247</c:v>
                </c:pt>
                <c:pt idx="2">
                  <c:v>0</c:v>
                </c:pt>
                <c:pt idx="3">
                  <c:v>849830.253996749</c:v>
                </c:pt>
                <c:pt idx="4">
                  <c:v>872678.253996749</c:v>
                </c:pt>
                <c:pt idx="5">
                  <c:v>0</c:v>
                </c:pt>
              </c:numCache>
            </c:numRef>
          </c:val>
        </c:ser>
        <c:ser>
          <c:idx val="1"/>
          <c:order val="1"/>
          <c:spPr>
            <a:solidFill>
              <a:srgbClr val="8EA9DB"/>
            </a:solidFill>
            <a:ln w="12600">
              <a:noFill/>
            </a:ln>
          </c:spPr>
          <c:invertIfNegative val="0"/>
          <c:dLbls>
            <c:numFmt formatCode="#,##0" sourceLinked="1"/>
            <c:txPr>
              <a:bodyPr wrap="square"/>
              <a:lstStyle/>
              <a:p>
                <a:pPr>
                  <a:defRPr sz="1000" b="0" u="none" strike="noStrike">
                    <a:solidFill>
                      <a:srgbClr val="000000"/>
                    </a:solidFill>
                    <a:uFillTx/>
                    <a:latin typeface="Calibri"/>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Podsumowanie!$D$40:$D$45</c:f>
              <c:strCache>
                <c:ptCount val="6"/>
                <c:pt idx="0">
                  <c:v>PV FCF 2026-2030</c:v>
                </c:pt>
                <c:pt idx="1">
                  <c:v>PV wartości rezydualnej</c:v>
                </c:pt>
                <c:pt idx="2">
                  <c:v>Wartość firmy</c:v>
                </c:pt>
                <c:pt idx="3">
                  <c:v>+ Gotówka i papiery</c:v>
                </c:pt>
                <c:pt idx="4">
                  <c:v>- Dług</c:v>
                </c:pt>
                <c:pt idx="5">
                  <c:v>Kapitał własny</c:v>
                </c:pt>
              </c:strCache>
            </c:strRef>
          </c:cat>
          <c:val>
            <c:numRef>
              <c:f>Podsumowanie!$F$40:$F$45</c:f>
              <c:numCache>
                <c:formatCode>#,##0;\(#,##0\);\-</c:formatCode>
                <c:ptCount val="6"/>
                <c:pt idx="0">
                  <c:v>97466.4516963247</c:v>
                </c:pt>
                <c:pt idx="1">
                  <c:v>752363.802300424</c:v>
                </c:pt>
                <c:pt idx="2">
                  <c:v>849830.253996749</c:v>
                </c:pt>
                <c:pt idx="3">
                  <c:v>81592</c:v>
                </c:pt>
                <c:pt idx="4">
                  <c:v>58744</c:v>
                </c:pt>
                <c:pt idx="5">
                  <c:v>872678.253996749</c:v>
                </c:pt>
              </c:numCache>
            </c:numRef>
          </c:val>
        </c:ser>
        <c:gapWidth val="150"/>
        <c:overlap val="100"/>
        <c:axId val="20605038"/>
        <c:axId val="9881024"/>
      </c:barChart>
      <c:catAx>
        <c:axId val="206050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81024"/>
        <c:crosses val="autoZero"/>
        <c:auto val="1"/>
        <c:lblAlgn val="ctr"/>
        <c:lblOffset val="100"/>
        <c:noMultiLvlLbl val="0"/>
      </c:catAx>
      <c:valAx>
        <c:axId val="9881024"/>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605038"/>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3</xdr:row>
      <xdr:rowOff>0</xdr:rowOff>
    </xdr:from>
    <xdr:to>
      <xdr:col>7</xdr:col>
      <xdr:colOff>559080</xdr:colOff>
      <xdr:row>19</xdr:row>
      <xdr:rowOff>11520</xdr:rowOff>
    </xdr:to>
    <xdr:graphicFrame>
      <xdr:nvGraphicFramePr>
        <xdr:cNvPr id="1" name="Chart 1"/>
        <xdr:cNvGraphicFramePr/>
      </xdr:nvGraphicFramePr>
      <xdr:xfrm>
        <a:off x="4440600" y="601200"/>
        <a:ext cx="647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48</xdr:row>
      <xdr:rowOff>0</xdr:rowOff>
    </xdr:from>
    <xdr:to>
      <xdr:col>3</xdr:col>
      <xdr:colOff>239040</xdr:colOff>
      <xdr:row>64</xdr:row>
      <xdr:rowOff>11520</xdr:rowOff>
    </xdr:to>
    <xdr:graphicFrame>
      <xdr:nvGraphicFramePr>
        <xdr:cNvPr id="2" name="Chart 2"/>
        <xdr:cNvGraphicFramePr/>
      </xdr:nvGraphicFramePr>
      <xdr:xfrm>
        <a:off x="0" y="9554760"/>
        <a:ext cx="467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48</xdr:row>
      <xdr:rowOff>0</xdr:rowOff>
    </xdr:from>
    <xdr:to>
      <xdr:col>11</xdr:col>
      <xdr:colOff>321480</xdr:colOff>
      <xdr:row>64</xdr:row>
      <xdr:rowOff>11520</xdr:rowOff>
    </xdr:to>
    <xdr:graphicFrame>
      <xdr:nvGraphicFramePr>
        <xdr:cNvPr id="3" name="Chart 3"/>
        <xdr:cNvGraphicFramePr/>
      </xdr:nvGraphicFramePr>
      <xdr:xfrm>
        <a:off x="6555240" y="9554760"/>
        <a:ext cx="647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3"/>
    <col collapsed="false" customWidth="true" hidden="false" outlineLevel="0" max="4" min="4" style="0" width="30"/>
    <col collapsed="false" customWidth="true" hidden="false" outlineLevel="0" max="7" min="5"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5" t="n">
        <f aca="false">DCF!$B$33</f>
        <v>344.992733472931</v>
      </c>
    </row>
    <row r="6" customFormat="false" ht="15" hidden="false" customHeight="false" outlineLevel="0" collapsed="false">
      <c r="A6" s="4" t="s">
        <v>5</v>
      </c>
      <c r="B6" s="6" t="n">
        <f aca="false">Założenia!$B$20</f>
        <v>709.33</v>
      </c>
    </row>
    <row r="7" customFormat="false" ht="15" hidden="false" customHeight="false" outlineLevel="0" collapsed="false">
      <c r="A7" s="4" t="s">
        <v>6</v>
      </c>
      <c r="B7" s="7" t="n">
        <f aca="false">B5/B6-1</f>
        <v>-0.513635778166818</v>
      </c>
    </row>
    <row r="8" customFormat="false" ht="15" hidden="false" customHeight="false" outlineLevel="0" collapsed="false">
      <c r="A8" s="8" t="s">
        <v>7</v>
      </c>
      <c r="B8" s="9" t="n">
        <f aca="false">Założenia!$B$29</f>
        <v>0.111</v>
      </c>
    </row>
    <row r="9" customFormat="false" ht="15" hidden="false" customHeight="false" outlineLevel="0" collapsed="false">
      <c r="A9" s="8" t="s">
        <v>8</v>
      </c>
      <c r="B9" s="9" t="n">
        <f aca="false">Założenia!$B$18</f>
        <v>0.03</v>
      </c>
    </row>
    <row r="10" customFormat="false" ht="15" hidden="false" customHeight="false" outlineLevel="0" collapsed="false">
      <c r="A10" s="8" t="s">
        <v>9</v>
      </c>
      <c r="B10" s="10" t="n">
        <f aca="false">DCF!$B$28</f>
        <v>849830.253996749</v>
      </c>
    </row>
    <row r="11" customFormat="false" ht="15" hidden="false" customHeight="false" outlineLevel="0" collapsed="false">
      <c r="A11" s="8" t="s">
        <v>10</v>
      </c>
      <c r="B11" s="10" t="n">
        <f aca="false">DCF!$B$31</f>
        <v>872678.253996749</v>
      </c>
    </row>
    <row r="12" customFormat="false" ht="15" hidden="false" customHeight="false" outlineLevel="0" collapsed="false">
      <c r="A12" s="8" t="s">
        <v>11</v>
      </c>
      <c r="B12" s="9" t="n">
        <f aca="false">DCF!$B$34</f>
        <v>0.885310682647575</v>
      </c>
    </row>
    <row r="14" customFormat="false" ht="15" hidden="false" customHeight="false" outlineLevel="0" collapsed="false">
      <c r="A14" s="3" t="s">
        <v>12</v>
      </c>
      <c r="B14" s="3" t="s">
        <v>3</v>
      </c>
    </row>
    <row r="15" customFormat="false" ht="15" hidden="false" customHeight="false" outlineLevel="0" collapsed="false">
      <c r="A15" s="8" t="s">
        <v>13</v>
      </c>
      <c r="B15" s="9" t="n">
        <f aca="false">Założenia!$B$5</f>
        <v>0.18</v>
      </c>
    </row>
    <row r="16" customFormat="false" ht="15" hidden="false" customHeight="false" outlineLevel="0" collapsed="false">
      <c r="A16" s="8" t="s">
        <v>14</v>
      </c>
      <c r="B16" s="9" t="n">
        <f aca="false">Założenia!$F$5</f>
        <v>0.08</v>
      </c>
    </row>
    <row r="17" customFormat="false" ht="15" hidden="false" customHeight="false" outlineLevel="0" collapsed="false">
      <c r="A17" s="8" t="s">
        <v>15</v>
      </c>
      <c r="B17" s="9" t="n">
        <f aca="false">Założenia!$B$7</f>
        <v>0.38</v>
      </c>
    </row>
    <row r="18" customFormat="false" ht="15" hidden="false" customHeight="false" outlineLevel="0" collapsed="false">
      <c r="A18" s="8" t="s">
        <v>16</v>
      </c>
      <c r="B18" s="9" t="n">
        <f aca="false">Założenia!$G$7</f>
        <v>0.36</v>
      </c>
    </row>
    <row r="19" customFormat="false" ht="15" hidden="false" customHeight="false" outlineLevel="0" collapsed="false">
      <c r="A19" s="8" t="s">
        <v>17</v>
      </c>
      <c r="B19" s="9" t="n">
        <f aca="false">Założenia!$B$9</f>
        <v>0.52</v>
      </c>
    </row>
    <row r="20" customFormat="false" ht="15" hidden="false" customHeight="false" outlineLevel="0" collapsed="false">
      <c r="A20" s="8" t="s">
        <v>18</v>
      </c>
      <c r="B20" s="9" t="n">
        <f aca="false">Założenia!$G$9</f>
        <v>0.19</v>
      </c>
    </row>
    <row r="21" customFormat="false" ht="15" hidden="false" customHeight="false" outlineLevel="0" collapsed="false">
      <c r="A21" s="8" t="s">
        <v>19</v>
      </c>
      <c r="B21" s="9" t="n">
        <f aca="false">Założenia!$G$11</f>
        <v>0.16</v>
      </c>
    </row>
    <row r="22" customFormat="false" ht="15" hidden="false" customHeight="false" outlineLevel="0" collapsed="false">
      <c r="A22" s="8" t="s">
        <v>20</v>
      </c>
      <c r="B22" s="9" t="n">
        <f aca="false">Założenia!$B$15</f>
        <v>0.15</v>
      </c>
    </row>
    <row r="23" customFormat="false" ht="15" hidden="false" customHeight="false" outlineLevel="0" collapsed="false">
      <c r="A23" s="8" t="s">
        <v>21</v>
      </c>
      <c r="B23" s="9" t="n">
        <f aca="false">Założenia!$B$19</f>
        <v>0.051</v>
      </c>
    </row>
    <row r="24" customFormat="false" ht="15" hidden="false" customHeight="false" outlineLevel="0" collapsed="false">
      <c r="A24" s="8" t="s">
        <v>22</v>
      </c>
      <c r="B24" s="11" t="n">
        <f aca="false">Założenia!$B$16</f>
        <v>1.2</v>
      </c>
    </row>
    <row r="25" customFormat="false" ht="15" hidden="false" customHeight="false" outlineLevel="0" collapsed="false">
      <c r="A25" s="8" t="s">
        <v>23</v>
      </c>
      <c r="B25" s="9" t="n">
        <f aca="false">Założenia!$B$17</f>
        <v>0.05</v>
      </c>
    </row>
    <row r="27" customFormat="false" ht="15" hidden="false" customHeight="false" outlineLevel="0" collapsed="false">
      <c r="D27" s="4" t="s">
        <v>24</v>
      </c>
    </row>
    <row r="28" customFormat="false" ht="30" hidden="false" customHeight="true" outlineLevel="0" collapsed="false">
      <c r="D28" s="3" t="s">
        <v>25</v>
      </c>
      <c r="E28" s="3" t="s">
        <v>26</v>
      </c>
      <c r="F28" s="3" t="s">
        <v>27</v>
      </c>
      <c r="G28" s="3" t="s">
        <v>28</v>
      </c>
    </row>
    <row r="29" customFormat="false" ht="15" hidden="false" customHeight="false" outlineLevel="0" collapsed="false">
      <c r="D29" s="0" t="s">
        <v>29</v>
      </c>
      <c r="E29" s="10" t="n">
        <f aca="false">'Dane historyczne'!$B$5</f>
        <v>134902</v>
      </c>
      <c r="F29" s="9" t="n">
        <f aca="false">'Dane historyczne'!$B$7</f>
        <v>0.346555277164164</v>
      </c>
    </row>
    <row r="30" customFormat="false" ht="15" hidden="false" customHeight="false" outlineLevel="0" collapsed="false">
      <c r="D30" s="0" t="s">
        <v>30</v>
      </c>
      <c r="E30" s="10" t="n">
        <f aca="false">'Dane historyczne'!$C$5</f>
        <v>164501</v>
      </c>
      <c r="F30" s="9" t="n">
        <f aca="false">'Dane historyczne'!$C$7</f>
        <v>0.421760354040401</v>
      </c>
    </row>
    <row r="31" customFormat="false" ht="15" hidden="false" customHeight="false" outlineLevel="0" collapsed="false">
      <c r="D31" s="0" t="s">
        <v>31</v>
      </c>
      <c r="E31" s="10" t="n">
        <f aca="false">'Dane historyczne'!$D$5</f>
        <v>200966</v>
      </c>
      <c r="F31" s="9" t="n">
        <f aca="false">'Dane historyczne'!$D$7</f>
        <v>0.414378551595792</v>
      </c>
    </row>
    <row r="32" customFormat="false" ht="15" hidden="false" customHeight="false" outlineLevel="0" collapsed="false">
      <c r="D32" s="0" t="s">
        <v>32</v>
      </c>
      <c r="E32" s="10" t="n">
        <f aca="false">DCF!$C$6</f>
        <v>237139.88</v>
      </c>
      <c r="F32" s="9" t="n">
        <f aca="false">DCF!$C$8</f>
        <v>0.38</v>
      </c>
      <c r="G32" s="10" t="n">
        <f aca="false">DCF!$C$17</f>
        <v>-18259.77076</v>
      </c>
    </row>
    <row r="33" customFormat="false" ht="15" hidden="false" customHeight="false" outlineLevel="0" collapsed="false">
      <c r="D33" s="0" t="s">
        <v>33</v>
      </c>
      <c r="E33" s="10" t="n">
        <f aca="false">DCF!$D$6</f>
        <v>272710.862</v>
      </c>
      <c r="F33" s="9" t="n">
        <f aca="false">DCF!$D$8</f>
        <v>0.37</v>
      </c>
      <c r="G33" s="10" t="n">
        <f aca="false">DCF!$D$17</f>
        <v>1227.198879</v>
      </c>
    </row>
    <row r="34" customFormat="false" ht="15" hidden="false" customHeight="false" outlineLevel="0" collapsed="false">
      <c r="D34" s="0" t="s">
        <v>34</v>
      </c>
      <c r="E34" s="10" t="n">
        <f aca="false">DCF!$E$6</f>
        <v>305436.16544</v>
      </c>
      <c r="F34" s="9" t="n">
        <f aca="false">DCF!$E$8</f>
        <v>0.36</v>
      </c>
      <c r="G34" s="10" t="n">
        <f aca="false">DCF!$E$17</f>
        <v>26267.51022784</v>
      </c>
    </row>
    <row r="35" customFormat="false" ht="15" hidden="false" customHeight="false" outlineLevel="0" collapsed="false">
      <c r="D35" s="0" t="s">
        <v>35</v>
      </c>
      <c r="E35" s="10" t="n">
        <f aca="false">DCF!$F$6</f>
        <v>335979.781984</v>
      </c>
      <c r="F35" s="9" t="n">
        <f aca="false">DCF!$F$8</f>
        <v>0.36</v>
      </c>
      <c r="G35" s="10" t="n">
        <f aca="false">DCF!$F$17</f>
        <v>62492.239449024</v>
      </c>
    </row>
    <row r="36" customFormat="false" ht="15" hidden="false" customHeight="false" outlineLevel="0" collapsed="false">
      <c r="D36" s="0" t="s">
        <v>36</v>
      </c>
      <c r="E36" s="10" t="n">
        <f aca="false">DCF!$G$6</f>
        <v>362858.16454272</v>
      </c>
      <c r="F36" s="9" t="n">
        <f aca="false">DCF!$G$8</f>
        <v>0.36</v>
      </c>
      <c r="G36" s="10" t="n">
        <f aca="false">DCF!$G$17</f>
        <v>89263.1084775091</v>
      </c>
    </row>
    <row r="39" customFormat="false" ht="30" hidden="false" customHeight="true" outlineLevel="0" collapsed="false">
      <c r="D39" s="3" t="s">
        <v>37</v>
      </c>
      <c r="E39" s="3" t="s">
        <v>38</v>
      </c>
      <c r="F39" s="3" t="s">
        <v>39</v>
      </c>
    </row>
    <row r="40" customFormat="false" ht="15" hidden="false" customHeight="false" outlineLevel="0" collapsed="false">
      <c r="D40" s="0" t="s">
        <v>40</v>
      </c>
      <c r="E40" s="12" t="n">
        <f aca="false">0</f>
        <v>0</v>
      </c>
      <c r="F40" s="10" t="n">
        <f aca="false">DCF!$B$22</f>
        <v>97466.4516963247</v>
      </c>
    </row>
    <row r="41" customFormat="false" ht="15" hidden="false" customHeight="false" outlineLevel="0" collapsed="false">
      <c r="D41" s="0" t="s">
        <v>41</v>
      </c>
      <c r="E41" s="12" t="n">
        <f aca="false">MIN(0,DCF!$B$22)+MAX(0,DCF!$B$22)</f>
        <v>97466.4516963247</v>
      </c>
      <c r="F41" s="10" t="n">
        <f aca="false">DCF!$B$27</f>
        <v>752363.802300424</v>
      </c>
    </row>
    <row r="42" customFormat="false" ht="15" hidden="false" customHeight="false" outlineLevel="0" collapsed="false">
      <c r="D42" s="0" t="s">
        <v>42</v>
      </c>
      <c r="E42" s="12" t="n">
        <f aca="false">0</f>
        <v>0</v>
      </c>
      <c r="F42" s="10" t="n">
        <f aca="false">DCF!$B$28</f>
        <v>849830.253996749</v>
      </c>
    </row>
    <row r="43" customFormat="false" ht="15" hidden="false" customHeight="false" outlineLevel="0" collapsed="false">
      <c r="D43" s="0" t="s">
        <v>43</v>
      </c>
      <c r="E43" s="12" t="n">
        <f aca="false">DCF!$B$28</f>
        <v>849830.253996749</v>
      </c>
      <c r="F43" s="10" t="n">
        <f aca="false">DCF!$B$29</f>
        <v>81592</v>
      </c>
    </row>
    <row r="44" customFormat="false" ht="15" hidden="false" customHeight="false" outlineLevel="0" collapsed="false">
      <c r="D44" s="0" t="s">
        <v>44</v>
      </c>
      <c r="E44" s="12" t="n">
        <f aca="false">DCF!$B$28+DCF!$B$29+DCF!$B$30</f>
        <v>872678.253996749</v>
      </c>
      <c r="F44" s="10" t="n">
        <f aca="false">-DCF!$B$30</f>
        <v>58744</v>
      </c>
    </row>
    <row r="45" customFormat="false" ht="15" hidden="false" customHeight="false" outlineLevel="0" collapsed="false">
      <c r="D45" s="0" t="s">
        <v>45</v>
      </c>
      <c r="E45" s="12" t="n">
        <f aca="false">0</f>
        <v>0</v>
      </c>
      <c r="F45" s="10" t="n">
        <f aca="false">DCF!$B$31</f>
        <v>872678.253996749</v>
      </c>
    </row>
    <row r="47" customFormat="false" ht="15" hidden="false" customHeight="false" outlineLevel="0" collapsed="false">
      <c r="D47" s="8" t="s">
        <v>46</v>
      </c>
      <c r="G47" s="13" t="n">
        <f aca="false">DCF!$B$33</f>
        <v>344.992733472931</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34375" defaultRowHeight="15" customHeight="false" zeroHeight="false" outlineLevelRow="0" outlineLevelCol="0"/>
  <cols>
    <col collapsed="false" customWidth="true" hidden="false" outlineLevel="0" max="1" min="1" style="0" width="100"/>
    <col collapsed="false" customWidth="true" hidden="false" outlineLevel="0" max="2" min="2" style="0" width="17"/>
    <col collapsed="false" customWidth="true" hidden="false" outlineLevel="0" max="7" min="3" style="0" width="14"/>
  </cols>
  <sheetData>
    <row r="1" customFormat="false" ht="17.35" hidden="false" customHeight="false" outlineLevel="0" collapsed="false">
      <c r="A1" s="1" t="s">
        <v>47</v>
      </c>
    </row>
    <row r="2" customFormat="false" ht="15" hidden="false" customHeight="false" outlineLevel="0" collapsed="false">
      <c r="A2" s="2" t="s">
        <v>48</v>
      </c>
    </row>
    <row r="4" customFormat="false" ht="15" hidden="false" customHeight="false" outlineLevel="0" collapsed="false">
      <c r="A4" s="3" t="s">
        <v>49</v>
      </c>
      <c r="B4" s="3" t="s">
        <v>29</v>
      </c>
      <c r="C4" s="3" t="s">
        <v>30</v>
      </c>
      <c r="D4" s="3" t="s">
        <v>31</v>
      </c>
      <c r="E4" s="3" t="s">
        <v>50</v>
      </c>
      <c r="F4" s="3" t="s">
        <v>51</v>
      </c>
      <c r="G4" s="3" t="s">
        <v>52</v>
      </c>
    </row>
    <row r="5" customFormat="false" ht="15" hidden="false" customHeight="false" outlineLevel="0" collapsed="false">
      <c r="A5" s="8" t="s">
        <v>53</v>
      </c>
      <c r="B5" s="14" t="n">
        <v>134902</v>
      </c>
      <c r="C5" s="14" t="n">
        <v>164501</v>
      </c>
      <c r="D5" s="14" t="n">
        <v>200966</v>
      </c>
      <c r="E5" s="15" t="s">
        <v>54</v>
      </c>
      <c r="F5" s="15" t="s">
        <v>55</v>
      </c>
      <c r="G5" s="15" t="s">
        <v>56</v>
      </c>
    </row>
    <row r="6" customFormat="false" ht="15" hidden="false" customHeight="false" outlineLevel="0" collapsed="false">
      <c r="A6" s="8" t="s">
        <v>57</v>
      </c>
      <c r="B6" s="14" t="n">
        <v>46751</v>
      </c>
      <c r="C6" s="14" t="n">
        <v>69380</v>
      </c>
      <c r="D6" s="14" t="n">
        <v>83276</v>
      </c>
      <c r="E6" s="15" t="s">
        <v>58</v>
      </c>
      <c r="F6" s="15" t="s">
        <v>59</v>
      </c>
      <c r="G6" s="15" t="s">
        <v>60</v>
      </c>
    </row>
    <row r="7" customFormat="false" ht="15" hidden="false" customHeight="false" outlineLevel="0" collapsed="false">
      <c r="A7" s="8" t="s">
        <v>27</v>
      </c>
      <c r="B7" s="16" t="n">
        <f aca="false">IF(B5=0,0,B6/B5)</f>
        <v>0.346555277164164</v>
      </c>
      <c r="C7" s="16" t="n">
        <f aca="false">IF(C5=0,0,C6/C5)</f>
        <v>0.421760354040401</v>
      </c>
      <c r="D7" s="16" t="n">
        <f aca="false">IF(D5=0,0,D6/D5)</f>
        <v>0.414378551595792</v>
      </c>
    </row>
    <row r="8" customFormat="false" ht="15" hidden="false" customHeight="false" outlineLevel="0" collapsed="false">
      <c r="A8" s="8" t="s">
        <v>61</v>
      </c>
      <c r="C8" s="16" t="n">
        <f aca="false">IF(B5=0,0,C5/B5-1)</f>
        <v>0.219411128078161</v>
      </c>
      <c r="D8" s="16" t="n">
        <f aca="false">IF(C5=0,0,D5/C5-1)</f>
        <v>0.221670384982462</v>
      </c>
    </row>
    <row r="10" customFormat="false" ht="15" hidden="false" customHeight="false" outlineLevel="0" collapsed="false">
      <c r="A10" s="3" t="s">
        <v>62</v>
      </c>
      <c r="B10" s="3" t="s">
        <v>3</v>
      </c>
      <c r="C10" s="3" t="s">
        <v>63</v>
      </c>
      <c r="D10" s="3" t="s">
        <v>64</v>
      </c>
      <c r="E10" s="3" t="s">
        <v>65</v>
      </c>
    </row>
    <row r="11" customFormat="false" ht="15" hidden="false" customHeight="false" outlineLevel="0" collapsed="false">
      <c r="A11" s="8" t="s">
        <v>66</v>
      </c>
      <c r="B11" s="14" t="n">
        <v>60458</v>
      </c>
      <c r="C11" s="8" t="s">
        <v>67</v>
      </c>
      <c r="D11" s="8" t="s">
        <v>31</v>
      </c>
      <c r="E11" s="15" t="s">
        <v>68</v>
      </c>
    </row>
    <row r="12" customFormat="false" ht="15" hidden="false" customHeight="false" outlineLevel="0" collapsed="false">
      <c r="A12" s="8" t="s">
        <v>69</v>
      </c>
      <c r="B12" s="14" t="n">
        <v>18616</v>
      </c>
      <c r="C12" s="8" t="s">
        <v>67</v>
      </c>
      <c r="D12" s="8" t="s">
        <v>31</v>
      </c>
      <c r="E12" s="15" t="s">
        <v>70</v>
      </c>
    </row>
    <row r="13" customFormat="false" ht="15" hidden="false" customHeight="false" outlineLevel="0" collapsed="false">
      <c r="A13" s="8" t="s">
        <v>71</v>
      </c>
      <c r="B13" s="14" t="n">
        <v>-69691</v>
      </c>
      <c r="C13" s="8" t="s">
        <v>67</v>
      </c>
      <c r="D13" s="8" t="s">
        <v>31</v>
      </c>
      <c r="E13" s="15" t="s">
        <v>72</v>
      </c>
    </row>
    <row r="14" customFormat="false" ht="15" hidden="false" customHeight="false" outlineLevel="0" collapsed="false">
      <c r="A14" s="8" t="s">
        <v>73</v>
      </c>
      <c r="B14" s="14" t="n">
        <v>85932</v>
      </c>
      <c r="C14" s="8" t="s">
        <v>67</v>
      </c>
      <c r="D14" s="8" t="s">
        <v>31</v>
      </c>
      <c r="E14" s="15" t="s">
        <v>74</v>
      </c>
    </row>
    <row r="15" customFormat="false" ht="15" hidden="false" customHeight="false" outlineLevel="0" collapsed="false">
      <c r="A15" s="8" t="s">
        <v>75</v>
      </c>
      <c r="B15" s="14" t="n">
        <v>25474</v>
      </c>
      <c r="C15" s="8" t="s">
        <v>67</v>
      </c>
      <c r="D15" s="8" t="s">
        <v>31</v>
      </c>
      <c r="E15" s="15" t="s">
        <v>76</v>
      </c>
    </row>
    <row r="16" customFormat="false" ht="15" hidden="false" customHeight="false" outlineLevel="0" collapsed="false">
      <c r="A16" s="8" t="s">
        <v>77</v>
      </c>
      <c r="B16" s="14" t="n">
        <v>35873</v>
      </c>
      <c r="C16" s="8" t="s">
        <v>67</v>
      </c>
      <c r="D16" s="8" t="s">
        <v>78</v>
      </c>
      <c r="E16" s="15" t="s">
        <v>79</v>
      </c>
    </row>
    <row r="17" customFormat="false" ht="15" hidden="false" customHeight="false" outlineLevel="0" collapsed="false">
      <c r="A17" s="8" t="s">
        <v>80</v>
      </c>
      <c r="B17" s="14" t="n">
        <v>45719</v>
      </c>
      <c r="C17" s="8" t="s">
        <v>67</v>
      </c>
      <c r="D17" s="8" t="s">
        <v>78</v>
      </c>
      <c r="E17" s="15" t="s">
        <v>81</v>
      </c>
    </row>
    <row r="18" customFormat="false" ht="15" hidden="false" customHeight="false" outlineLevel="0" collapsed="false">
      <c r="A18" s="8" t="s">
        <v>82</v>
      </c>
      <c r="B18" s="14" t="n">
        <v>58744</v>
      </c>
      <c r="C18" s="8" t="s">
        <v>67</v>
      </c>
      <c r="D18" s="8" t="s">
        <v>78</v>
      </c>
      <c r="E18" s="15" t="s">
        <v>83</v>
      </c>
    </row>
    <row r="19" customFormat="false" ht="15" hidden="false" customHeight="false" outlineLevel="0" collapsed="false">
      <c r="A19" s="8" t="s">
        <v>84</v>
      </c>
      <c r="B19" s="14" t="n">
        <v>176400</v>
      </c>
      <c r="C19" s="8" t="s">
        <v>67</v>
      </c>
      <c r="D19" s="8" t="s">
        <v>78</v>
      </c>
      <c r="E19" s="15" t="s">
        <v>85</v>
      </c>
    </row>
    <row r="20" customFormat="false" ht="15" hidden="false" customHeight="false" outlineLevel="0" collapsed="false">
      <c r="A20" s="8" t="s">
        <v>84</v>
      </c>
      <c r="B20" s="14" t="n">
        <v>121346</v>
      </c>
      <c r="C20" s="8" t="s">
        <v>67</v>
      </c>
      <c r="D20" s="8" t="s">
        <v>86</v>
      </c>
      <c r="E20" s="15" t="s">
        <v>87</v>
      </c>
    </row>
    <row r="21" customFormat="false" ht="15" hidden="false" customHeight="false" outlineLevel="0" collapsed="false">
      <c r="A21" s="8" t="s">
        <v>88</v>
      </c>
      <c r="B21" s="14" t="n">
        <v>198759</v>
      </c>
      <c r="C21" s="8" t="s">
        <v>67</v>
      </c>
      <c r="D21" s="8" t="s">
        <v>31</v>
      </c>
      <c r="E21" s="15" t="s">
        <v>89</v>
      </c>
    </row>
    <row r="22" customFormat="false" ht="15" hidden="false" customHeight="false" outlineLevel="0" collapsed="false">
      <c r="A22" s="8" t="s">
        <v>90</v>
      </c>
      <c r="B22" s="14" t="n">
        <v>102469</v>
      </c>
      <c r="C22" s="8" t="s">
        <v>67</v>
      </c>
      <c r="D22" s="8" t="s">
        <v>31</v>
      </c>
      <c r="E22" s="15" t="s">
        <v>91</v>
      </c>
    </row>
    <row r="23" customFormat="false" ht="15" hidden="false" customHeight="false" outlineLevel="0" collapsed="false">
      <c r="A23" s="8" t="s">
        <v>92</v>
      </c>
      <c r="B23" s="14" t="n">
        <v>2207</v>
      </c>
      <c r="C23" s="8" t="s">
        <v>67</v>
      </c>
      <c r="D23" s="8" t="s">
        <v>31</v>
      </c>
      <c r="E23" s="15" t="s">
        <v>93</v>
      </c>
    </row>
    <row r="24" customFormat="false" ht="15" hidden="false" customHeight="false" outlineLevel="0" collapsed="false">
      <c r="A24" s="8" t="s">
        <v>94</v>
      </c>
      <c r="B24" s="14" t="n">
        <v>-19193</v>
      </c>
      <c r="C24" s="8" t="s">
        <v>67</v>
      </c>
      <c r="D24" s="8" t="s">
        <v>31</v>
      </c>
      <c r="E24" s="15" t="s">
        <v>95</v>
      </c>
    </row>
    <row r="25" customFormat="false" ht="15" hidden="false" customHeight="false" outlineLevel="0" collapsed="false">
      <c r="A25" s="8" t="s">
        <v>96</v>
      </c>
      <c r="B25" s="17" t="n">
        <v>2187177748</v>
      </c>
      <c r="C25" s="8" t="s">
        <v>97</v>
      </c>
      <c r="D25" s="8" t="s">
        <v>98</v>
      </c>
      <c r="E25" s="15" t="s">
        <v>99</v>
      </c>
    </row>
    <row r="26" customFormat="false" ht="15" hidden="false" customHeight="false" outlineLevel="0" collapsed="false">
      <c r="A26" s="8" t="s">
        <v>100</v>
      </c>
      <c r="B26" s="17" t="n">
        <v>342377716</v>
      </c>
      <c r="C26" s="8" t="s">
        <v>97</v>
      </c>
      <c r="D26" s="8" t="s">
        <v>98</v>
      </c>
      <c r="E26" s="15" t="s">
        <v>101</v>
      </c>
    </row>
    <row r="27" customFormat="false" ht="15" hidden="false" customHeight="false" outlineLevel="0" collapsed="false">
      <c r="A27" s="8" t="s">
        <v>102</v>
      </c>
      <c r="B27" s="18" t="n">
        <v>0.3</v>
      </c>
      <c r="C27" s="8" t="s">
        <v>103</v>
      </c>
      <c r="D27" s="8" t="s">
        <v>31</v>
      </c>
      <c r="E27" s="15" t="s">
        <v>104</v>
      </c>
    </row>
    <row r="28" customFormat="false" ht="15" hidden="false" customHeight="false" outlineLevel="0" collapsed="false">
      <c r="A28" s="8" t="s">
        <v>105</v>
      </c>
      <c r="B28" s="18" t="n">
        <v>0.13</v>
      </c>
      <c r="C28" s="8" t="s">
        <v>103</v>
      </c>
      <c r="D28" s="8" t="s">
        <v>32</v>
      </c>
      <c r="E28" s="15" t="s">
        <v>106</v>
      </c>
    </row>
    <row r="29" customFormat="false" ht="15" hidden="false" customHeight="false" outlineLevel="0" collapsed="false">
      <c r="A29" s="8" t="s">
        <v>107</v>
      </c>
      <c r="B29" s="18" t="n">
        <v>0.16</v>
      </c>
      <c r="C29" s="8" t="s">
        <v>103</v>
      </c>
      <c r="D29" s="8" t="s">
        <v>32</v>
      </c>
      <c r="E29" s="15" t="s">
        <v>108</v>
      </c>
    </row>
    <row r="30" customFormat="false" ht="15" hidden="false" customHeight="false" outlineLevel="0" collapsed="false">
      <c r="A30" s="8" t="s">
        <v>109</v>
      </c>
      <c r="B30" s="17" t="n">
        <v>115</v>
      </c>
      <c r="C30" s="8" t="s">
        <v>110</v>
      </c>
      <c r="D30" s="8" t="s">
        <v>32</v>
      </c>
      <c r="E30" s="15" t="s">
        <v>111</v>
      </c>
    </row>
    <row r="31" customFormat="false" ht="15" hidden="false" customHeight="false" outlineLevel="0" collapsed="false">
      <c r="A31" s="8" t="s">
        <v>112</v>
      </c>
      <c r="B31" s="17" t="n">
        <v>135</v>
      </c>
      <c r="C31" s="8" t="s">
        <v>110</v>
      </c>
      <c r="D31" s="8" t="s">
        <v>32</v>
      </c>
      <c r="E31" s="15" t="s">
        <v>113</v>
      </c>
    </row>
    <row r="32" customFormat="false" ht="15" hidden="false" customHeight="false" outlineLevel="0" collapsed="false">
      <c r="A32" s="8" t="s">
        <v>114</v>
      </c>
      <c r="B32" s="19" t="n">
        <v>81.59</v>
      </c>
      <c r="C32" s="8" t="s">
        <v>110</v>
      </c>
      <c r="D32" s="8" t="s">
        <v>78</v>
      </c>
      <c r="E32" s="15" t="s">
        <v>115</v>
      </c>
    </row>
    <row r="34" customFormat="false" ht="15" hidden="false" customHeight="false" outlineLevel="0" collapsed="false">
      <c r="A34" s="3" t="s">
        <v>116</v>
      </c>
      <c r="B34" s="3" t="s">
        <v>3</v>
      </c>
      <c r="C34" s="3" t="s">
        <v>63</v>
      </c>
      <c r="D34" s="3" t="s">
        <v>64</v>
      </c>
      <c r="E34" s="3" t="s">
        <v>117</v>
      </c>
    </row>
    <row r="35" customFormat="false" ht="15" hidden="false" customHeight="false" outlineLevel="0" collapsed="false">
      <c r="A35" s="8" t="s">
        <v>118</v>
      </c>
      <c r="B35" s="12" t="n">
        <f aca="false">'Dane historyczne'!$B$16+'Dane historyczne'!$B$17</f>
        <v>81592</v>
      </c>
      <c r="C35" s="8" t="s">
        <v>67</v>
      </c>
      <c r="D35" s="8" t="s">
        <v>78</v>
      </c>
      <c r="E35" s="2" t="s">
        <v>119</v>
      </c>
    </row>
    <row r="36" customFormat="false" ht="15" hidden="false" customHeight="false" outlineLevel="0" collapsed="false">
      <c r="A36" s="8" t="s">
        <v>120</v>
      </c>
      <c r="B36" s="20" t="n">
        <f aca="false">'Dane historyczne'!$B$25+'Dane historyczne'!$B$26</f>
        <v>2529555464</v>
      </c>
      <c r="C36" s="8" t="s">
        <v>97</v>
      </c>
      <c r="D36" s="8" t="s">
        <v>98</v>
      </c>
      <c r="E36" s="2" t="s">
        <v>121</v>
      </c>
    </row>
    <row r="37" customFormat="false" ht="15" hidden="false" customHeight="false" outlineLevel="0" collapsed="false">
      <c r="A37" s="8" t="s">
        <v>120</v>
      </c>
      <c r="B37" s="21" t="n">
        <f aca="false">('Dane historyczne'!$B$25+'Dane historyczne'!$B$26)/10^6</f>
        <v>2529.555464</v>
      </c>
      <c r="C37" s="8" t="s">
        <v>122</v>
      </c>
      <c r="D37" s="8" t="s">
        <v>98</v>
      </c>
      <c r="E37" s="2" t="s">
        <v>123</v>
      </c>
    </row>
    <row r="38" customFormat="false" ht="15" hidden="false" customHeight="false" outlineLevel="0" collapsed="false">
      <c r="A38" s="8" t="s">
        <v>124</v>
      </c>
      <c r="B38" s="16" t="n">
        <f aca="false">-'Dane historyczne'!$B$13/'Dane historyczne'!$D$5</f>
        <v>0.346780052347163</v>
      </c>
      <c r="C38" s="8" t="s">
        <v>125</v>
      </c>
      <c r="D38" s="8" t="s">
        <v>31</v>
      </c>
      <c r="E38" s="2" t="s">
        <v>126</v>
      </c>
    </row>
    <row r="39" customFormat="false" ht="15" hidden="false" customHeight="false" outlineLevel="0" collapsed="false">
      <c r="A39" s="8" t="s">
        <v>127</v>
      </c>
      <c r="B39" s="16" t="n">
        <f aca="false">'Dane historyczne'!$B$12/'Dane historyczne'!$D$5</f>
        <v>0.0926325846163033</v>
      </c>
      <c r="C39" s="8" t="s">
        <v>125</v>
      </c>
      <c r="D39" s="8" t="s">
        <v>31</v>
      </c>
      <c r="E39" s="2" t="s">
        <v>128</v>
      </c>
    </row>
    <row r="40" customFormat="false" ht="15" hidden="false" customHeight="false" outlineLevel="0" collapsed="false">
      <c r="A40" s="8" t="s">
        <v>129</v>
      </c>
      <c r="B40" s="16" t="n">
        <f aca="false">'Dane historyczne'!$B$15/'Dane historyczne'!$B$14</f>
        <v>0.296443699669506</v>
      </c>
      <c r="C40" s="8" t="s">
        <v>125</v>
      </c>
      <c r="D40" s="8" t="s">
        <v>31</v>
      </c>
      <c r="E40" s="2" t="s">
        <v>130</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cols>
    <col collapsed="false" customWidth="true" hidden="false" outlineLevel="0" max="1" min="1" style="0" width="44"/>
    <col collapsed="false" customWidth="true" hidden="false" outlineLevel="0" max="2" min="2" style="0" width="26"/>
    <col collapsed="false" customWidth="true" hidden="false" outlineLevel="0" max="7" min="3" style="0" width="22"/>
  </cols>
  <sheetData>
    <row r="1" customFormat="false" ht="17.35" hidden="false" customHeight="false" outlineLevel="0" collapsed="false">
      <c r="A1" s="1" t="s">
        <v>131</v>
      </c>
    </row>
    <row r="2" customFormat="false" ht="15" hidden="false" customHeight="false" outlineLevel="0" collapsed="false">
      <c r="A2" s="2" t="s">
        <v>132</v>
      </c>
    </row>
    <row r="4" customFormat="false" ht="15" hidden="false" customHeight="false" outlineLevel="0" collapsed="false">
      <c r="A4" s="3" t="s">
        <v>133</v>
      </c>
      <c r="B4" s="3" t="s">
        <v>32</v>
      </c>
      <c r="C4" s="3" t="s">
        <v>33</v>
      </c>
      <c r="D4" s="3" t="s">
        <v>34</v>
      </c>
      <c r="E4" s="3" t="s">
        <v>35</v>
      </c>
      <c r="F4" s="3" t="s">
        <v>36</v>
      </c>
      <c r="G4" s="3" t="s">
        <v>134</v>
      </c>
    </row>
    <row r="5" customFormat="false" ht="15" hidden="false" customHeight="false" outlineLevel="0" collapsed="false">
      <c r="A5" s="8" t="s">
        <v>61</v>
      </c>
      <c r="B5" s="22" t="n">
        <v>0.18</v>
      </c>
      <c r="C5" s="22" t="n">
        <v>0.15</v>
      </c>
      <c r="D5" s="22" t="n">
        <v>0.12</v>
      </c>
      <c r="E5" s="22" t="n">
        <v>0.1</v>
      </c>
      <c r="F5" s="22" t="n">
        <v>0.08</v>
      </c>
    </row>
    <row r="6" customFormat="false" ht="15" hidden="false" customHeight="false" outlineLevel="0" collapsed="false">
      <c r="A6" s="2" t="s">
        <v>135</v>
      </c>
      <c r="B6" s="15" t="s">
        <v>136</v>
      </c>
      <c r="C6" s="15" t="s">
        <v>137</v>
      </c>
      <c r="D6" s="15" t="s">
        <v>138</v>
      </c>
      <c r="E6" s="15" t="s">
        <v>139</v>
      </c>
      <c r="F6" s="15" t="s">
        <v>140</v>
      </c>
    </row>
    <row r="7" customFormat="false" ht="15" hidden="false" customHeight="false" outlineLevel="0" collapsed="false">
      <c r="A7" s="8" t="s">
        <v>27</v>
      </c>
      <c r="B7" s="22" t="n">
        <v>0.38</v>
      </c>
      <c r="C7" s="22" t="n">
        <v>0.37</v>
      </c>
      <c r="D7" s="22" t="n">
        <v>0.36</v>
      </c>
      <c r="E7" s="22" t="n">
        <v>0.36</v>
      </c>
      <c r="F7" s="22" t="n">
        <v>0.36</v>
      </c>
      <c r="G7" s="22" t="n">
        <v>0.36</v>
      </c>
    </row>
    <row r="8" customFormat="false" ht="15" hidden="false" customHeight="false" outlineLevel="0" collapsed="false">
      <c r="A8" s="2" t="s">
        <v>135</v>
      </c>
      <c r="B8" s="15" t="s">
        <v>141</v>
      </c>
      <c r="C8" s="15" t="s">
        <v>142</v>
      </c>
      <c r="D8" s="15" t="s">
        <v>143</v>
      </c>
      <c r="E8" s="15" t="s">
        <v>144</v>
      </c>
      <c r="F8" s="15" t="s">
        <v>145</v>
      </c>
      <c r="G8" s="15" t="s">
        <v>146</v>
      </c>
    </row>
    <row r="9" customFormat="false" ht="15" hidden="false" customHeight="false" outlineLevel="0" collapsed="false">
      <c r="A9" s="8" t="s">
        <v>124</v>
      </c>
      <c r="B9" s="22" t="n">
        <v>0.52</v>
      </c>
      <c r="C9" s="22" t="n">
        <v>0.45</v>
      </c>
      <c r="D9" s="22" t="n">
        <v>0.38</v>
      </c>
      <c r="E9" s="22" t="n">
        <v>0.28</v>
      </c>
      <c r="F9" s="22" t="n">
        <v>0.22</v>
      </c>
      <c r="G9" s="22" t="n">
        <v>0.19</v>
      </c>
    </row>
    <row r="10" customFormat="false" ht="15" hidden="false" customHeight="false" outlineLevel="0" collapsed="false">
      <c r="A10" s="2" t="s">
        <v>135</v>
      </c>
      <c r="B10" s="15" t="s">
        <v>147</v>
      </c>
      <c r="C10" s="15" t="s">
        <v>148</v>
      </c>
      <c r="D10" s="15" t="s">
        <v>149</v>
      </c>
      <c r="E10" s="15" t="s">
        <v>150</v>
      </c>
      <c r="F10" s="15" t="s">
        <v>151</v>
      </c>
      <c r="G10" s="15" t="s">
        <v>152</v>
      </c>
    </row>
    <row r="11" customFormat="false" ht="15" hidden="false" customHeight="false" outlineLevel="0" collapsed="false">
      <c r="A11" s="8" t="s">
        <v>127</v>
      </c>
      <c r="B11" s="22" t="n">
        <v>0.12</v>
      </c>
      <c r="C11" s="22" t="n">
        <v>0.14</v>
      </c>
      <c r="D11" s="22" t="n">
        <v>0.16</v>
      </c>
      <c r="E11" s="22" t="n">
        <v>0.16</v>
      </c>
      <c r="F11" s="22" t="n">
        <v>0.16</v>
      </c>
      <c r="G11" s="22" t="n">
        <v>0.16</v>
      </c>
    </row>
    <row r="12" customFormat="false" ht="15" hidden="false" customHeight="false" outlineLevel="0" collapsed="false">
      <c r="A12" s="2" t="s">
        <v>135</v>
      </c>
      <c r="B12" s="15" t="s">
        <v>153</v>
      </c>
      <c r="C12" s="15" t="s">
        <v>154</v>
      </c>
      <c r="D12" s="15" t="s">
        <v>155</v>
      </c>
      <c r="E12" s="15" t="s">
        <v>156</v>
      </c>
      <c r="F12" s="15" t="s">
        <v>157</v>
      </c>
      <c r="G12" s="15" t="s">
        <v>158</v>
      </c>
    </row>
    <row r="14" customFormat="false" ht="15" hidden="false" customHeight="false" outlineLevel="0" collapsed="false">
      <c r="A14" s="3" t="s">
        <v>159</v>
      </c>
      <c r="B14" s="3" t="s">
        <v>3</v>
      </c>
      <c r="C14" s="3" t="s">
        <v>65</v>
      </c>
      <c r="D14" s="3" t="s">
        <v>160</v>
      </c>
    </row>
    <row r="15" customFormat="false" ht="15" hidden="false" customHeight="false" outlineLevel="0" collapsed="false">
      <c r="A15" s="8" t="s">
        <v>161</v>
      </c>
      <c r="B15" s="22" t="n">
        <v>0.15</v>
      </c>
      <c r="C15" s="15" t="s">
        <v>162</v>
      </c>
      <c r="D15" s="2" t="s">
        <v>163</v>
      </c>
    </row>
    <row r="16" customFormat="false" ht="15" hidden="false" customHeight="false" outlineLevel="0" collapsed="false">
      <c r="A16" s="8" t="s">
        <v>164</v>
      </c>
      <c r="B16" s="23" t="n">
        <v>1.2</v>
      </c>
      <c r="C16" s="15" t="s">
        <v>165</v>
      </c>
      <c r="D16" s="2" t="s">
        <v>163</v>
      </c>
    </row>
    <row r="17" customFormat="false" ht="15" hidden="false" customHeight="false" outlineLevel="0" collapsed="false">
      <c r="A17" s="8" t="s">
        <v>166</v>
      </c>
      <c r="B17" s="22" t="n">
        <v>0.05</v>
      </c>
      <c r="C17" s="15" t="s">
        <v>167</v>
      </c>
      <c r="D17" s="2" t="s">
        <v>163</v>
      </c>
    </row>
    <row r="18" customFormat="false" ht="15" hidden="false" customHeight="false" outlineLevel="0" collapsed="false">
      <c r="A18" s="8" t="s">
        <v>168</v>
      </c>
      <c r="B18" s="22" t="n">
        <v>0.03</v>
      </c>
      <c r="C18" s="15" t="s">
        <v>169</v>
      </c>
      <c r="D18" s="2" t="s">
        <v>163</v>
      </c>
    </row>
    <row r="19" customFormat="false" ht="15" hidden="false" customHeight="false" outlineLevel="0" collapsed="false">
      <c r="A19" s="8" t="s">
        <v>170</v>
      </c>
      <c r="B19" s="24" t="n">
        <v>0.051</v>
      </c>
      <c r="C19" s="15" t="s">
        <v>171</v>
      </c>
      <c r="D19" s="2" t="s">
        <v>172</v>
      </c>
    </row>
    <row r="20" customFormat="false" ht="15" hidden="false" customHeight="false" outlineLevel="0" collapsed="false">
      <c r="A20" s="8" t="s">
        <v>173</v>
      </c>
      <c r="B20" s="25" t="n">
        <v>709.33</v>
      </c>
      <c r="C20" s="15" t="s">
        <v>174</v>
      </c>
      <c r="D20" s="2" t="s">
        <v>175</v>
      </c>
    </row>
    <row r="22" customFormat="false" ht="15" hidden="false" customHeight="false" outlineLevel="0" collapsed="false">
      <c r="A22" s="3" t="s">
        <v>176</v>
      </c>
      <c r="B22" s="3" t="s">
        <v>3</v>
      </c>
      <c r="C22" s="3"/>
      <c r="D22" s="3" t="s">
        <v>117</v>
      </c>
    </row>
    <row r="23" customFormat="false" ht="15" hidden="false" customHeight="false" outlineLevel="0" collapsed="false">
      <c r="A23" s="8" t="s">
        <v>177</v>
      </c>
      <c r="B23" s="16" t="n">
        <f aca="false">Założenia!$B$19+Założenia!$B$16*Założenia!$B$17</f>
        <v>0.111</v>
      </c>
      <c r="D23" s="2" t="s">
        <v>178</v>
      </c>
    </row>
    <row r="24" customFormat="false" ht="15" hidden="false" customHeight="false" outlineLevel="0" collapsed="false">
      <c r="A24" s="8" t="s">
        <v>179</v>
      </c>
      <c r="B24" s="12" t="n">
        <f aca="false">'Dane historyczne'!$B$18</f>
        <v>58744</v>
      </c>
      <c r="D24" s="2" t="s">
        <v>83</v>
      </c>
    </row>
    <row r="25" customFormat="false" ht="15" hidden="false" customHeight="false" outlineLevel="0" collapsed="false">
      <c r="A25" s="8" t="s">
        <v>180</v>
      </c>
      <c r="B25" s="12" t="n">
        <f aca="false">Założenia!$B$20*'Dane historyczne'!$B$37</f>
        <v>1794289.57727912</v>
      </c>
      <c r="D25" s="2" t="s">
        <v>181</v>
      </c>
    </row>
    <row r="26" customFormat="false" ht="15" hidden="false" customHeight="false" outlineLevel="0" collapsed="false">
      <c r="A26" s="8" t="s">
        <v>182</v>
      </c>
      <c r="B26" s="16" t="n">
        <f aca="false">Założenia!$B$24/(Założenia!$B$24+Założenia!$B$25)</f>
        <v>0.0317015302476364</v>
      </c>
      <c r="D26" s="2" t="s">
        <v>183</v>
      </c>
    </row>
    <row r="27" customFormat="false" ht="15" hidden="false" customHeight="false" outlineLevel="0" collapsed="false">
      <c r="A27" s="8" t="s">
        <v>184</v>
      </c>
      <c r="B27" s="18" t="n">
        <v>0.1</v>
      </c>
      <c r="D27" s="2" t="s">
        <v>185</v>
      </c>
    </row>
    <row r="28" customFormat="false" ht="15" hidden="false" customHeight="false" outlineLevel="0" collapsed="false">
      <c r="A28" s="8" t="s">
        <v>186</v>
      </c>
      <c r="B28" s="26" t="str">
        <f aca="false">IF(Założenia!$B$26&gt;Założenia!$B$27,"TAK - dodaj koszt długu do WACC","NIE - WACC = koszt kapitału własnego")</f>
        <v>NIE - WACC = koszt kapitału własnego</v>
      </c>
      <c r="D28" s="2"/>
    </row>
    <row r="29" customFormat="false" ht="15" hidden="false" customHeight="false" outlineLevel="0" collapsed="false">
      <c r="A29" s="4" t="s">
        <v>7</v>
      </c>
      <c r="B29" s="27" t="n">
        <f aca="false">Założenia!$B$23</f>
        <v>0.111</v>
      </c>
      <c r="D29" s="2" t="s">
        <v>187</v>
      </c>
    </row>
    <row r="31" customFormat="false" ht="15" hidden="false" customHeight="true" outlineLevel="0" collapsed="false">
      <c r="A31" s="3" t="s">
        <v>188</v>
      </c>
      <c r="B31" s="3" t="s">
        <v>65</v>
      </c>
      <c r="C31" s="28" t="s">
        <v>189</v>
      </c>
      <c r="D31" s="28"/>
      <c r="E31" s="28"/>
      <c r="F31" s="28"/>
      <c r="G31" s="28"/>
    </row>
    <row r="32" customFormat="false" ht="31.5" hidden="false" customHeight="true" outlineLevel="0" collapsed="false">
      <c r="A32" s="29" t="s">
        <v>190</v>
      </c>
      <c r="B32" s="30" t="s">
        <v>136</v>
      </c>
      <c r="C32" s="31" t="s">
        <v>191</v>
      </c>
      <c r="D32" s="31"/>
      <c r="E32" s="31"/>
      <c r="F32" s="31"/>
      <c r="G32" s="31"/>
    </row>
    <row r="33" customFormat="false" ht="31.5" hidden="false" customHeight="true" outlineLevel="0" collapsed="false">
      <c r="A33" s="29" t="s">
        <v>192</v>
      </c>
      <c r="B33" s="30" t="s">
        <v>137</v>
      </c>
      <c r="C33" s="31" t="s">
        <v>193</v>
      </c>
      <c r="D33" s="31"/>
      <c r="E33" s="31"/>
      <c r="F33" s="31"/>
      <c r="G33" s="31"/>
    </row>
    <row r="34" customFormat="false" ht="31.5" hidden="false" customHeight="true" outlineLevel="0" collapsed="false">
      <c r="A34" s="29" t="s">
        <v>194</v>
      </c>
      <c r="B34" s="30" t="s">
        <v>138</v>
      </c>
      <c r="C34" s="31" t="s">
        <v>195</v>
      </c>
      <c r="D34" s="31"/>
      <c r="E34" s="31"/>
      <c r="F34" s="31"/>
      <c r="G34" s="31"/>
    </row>
    <row r="35" customFormat="false" ht="18" hidden="false" customHeight="true" outlineLevel="0" collapsed="false">
      <c r="A35" s="29" t="s">
        <v>196</v>
      </c>
      <c r="B35" s="30" t="s">
        <v>139</v>
      </c>
      <c r="C35" s="31" t="s">
        <v>197</v>
      </c>
      <c r="D35" s="31"/>
      <c r="E35" s="31"/>
      <c r="F35" s="31"/>
      <c r="G35" s="31"/>
    </row>
    <row r="36" customFormat="false" ht="18" hidden="false" customHeight="true" outlineLevel="0" collapsed="false">
      <c r="A36" s="29" t="s">
        <v>198</v>
      </c>
      <c r="B36" s="30" t="s">
        <v>140</v>
      </c>
      <c r="C36" s="31" t="s">
        <v>199</v>
      </c>
      <c r="D36" s="31"/>
      <c r="E36" s="31"/>
      <c r="F36" s="31"/>
      <c r="G36" s="31"/>
    </row>
    <row r="37" customFormat="false" ht="45.75" hidden="false" customHeight="true" outlineLevel="0" collapsed="false">
      <c r="A37" s="29" t="s">
        <v>200</v>
      </c>
      <c r="B37" s="30" t="s">
        <v>141</v>
      </c>
      <c r="C37" s="31" t="s">
        <v>201</v>
      </c>
      <c r="D37" s="31"/>
      <c r="E37" s="31"/>
      <c r="F37" s="31"/>
      <c r="G37" s="31"/>
    </row>
    <row r="38" customFormat="false" ht="45.75" hidden="false" customHeight="true" outlineLevel="0" collapsed="false">
      <c r="A38" s="29" t="s">
        <v>202</v>
      </c>
      <c r="B38" s="30" t="s">
        <v>142</v>
      </c>
      <c r="C38" s="31" t="s">
        <v>201</v>
      </c>
      <c r="D38" s="31"/>
      <c r="E38" s="31"/>
      <c r="F38" s="31"/>
      <c r="G38" s="31"/>
    </row>
    <row r="39" customFormat="false" ht="45.75" hidden="false" customHeight="true" outlineLevel="0" collapsed="false">
      <c r="A39" s="29" t="s">
        <v>203</v>
      </c>
      <c r="B39" s="30" t="s">
        <v>143</v>
      </c>
      <c r="C39" s="31" t="s">
        <v>201</v>
      </c>
      <c r="D39" s="31"/>
      <c r="E39" s="31"/>
      <c r="F39" s="31"/>
      <c r="G39" s="31"/>
    </row>
    <row r="40" customFormat="false" ht="45.75" hidden="false" customHeight="true" outlineLevel="0" collapsed="false">
      <c r="A40" s="29" t="s">
        <v>204</v>
      </c>
      <c r="B40" s="30" t="s">
        <v>144</v>
      </c>
      <c r="C40" s="31" t="s">
        <v>201</v>
      </c>
      <c r="D40" s="31"/>
      <c r="E40" s="31"/>
      <c r="F40" s="31"/>
      <c r="G40" s="31"/>
    </row>
    <row r="41" customFormat="false" ht="45.75" hidden="false" customHeight="true" outlineLevel="0" collapsed="false">
      <c r="A41" s="29" t="s">
        <v>205</v>
      </c>
      <c r="B41" s="30" t="s">
        <v>145</v>
      </c>
      <c r="C41" s="31" t="s">
        <v>201</v>
      </c>
      <c r="D41" s="31"/>
      <c r="E41" s="31"/>
      <c r="F41" s="31"/>
      <c r="G41" s="31"/>
    </row>
    <row r="42" customFormat="false" ht="31.5" hidden="false" customHeight="true" outlineLevel="0" collapsed="false">
      <c r="A42" s="29" t="s">
        <v>206</v>
      </c>
      <c r="B42" s="30" t="s">
        <v>146</v>
      </c>
      <c r="C42" s="31" t="s">
        <v>207</v>
      </c>
      <c r="D42" s="31"/>
      <c r="E42" s="31"/>
      <c r="F42" s="31"/>
      <c r="G42" s="31"/>
    </row>
    <row r="43" customFormat="false" ht="31.5" hidden="false" customHeight="true" outlineLevel="0" collapsed="false">
      <c r="A43" s="29" t="s">
        <v>208</v>
      </c>
      <c r="B43" s="30" t="s">
        <v>147</v>
      </c>
      <c r="C43" s="31" t="s">
        <v>209</v>
      </c>
      <c r="D43" s="31"/>
      <c r="E43" s="31"/>
      <c r="F43" s="31"/>
      <c r="G43" s="31"/>
    </row>
    <row r="44" customFormat="false" ht="31.5" hidden="false" customHeight="true" outlineLevel="0" collapsed="false">
      <c r="A44" s="29" t="s">
        <v>210</v>
      </c>
      <c r="B44" s="30" t="s">
        <v>148</v>
      </c>
      <c r="C44" s="31" t="s">
        <v>211</v>
      </c>
      <c r="D44" s="31"/>
      <c r="E44" s="31"/>
      <c r="F44" s="31"/>
      <c r="G44" s="31"/>
    </row>
    <row r="45" customFormat="false" ht="31.5" hidden="false" customHeight="true" outlineLevel="0" collapsed="false">
      <c r="A45" s="29" t="s">
        <v>212</v>
      </c>
      <c r="B45" s="30" t="s">
        <v>149</v>
      </c>
      <c r="C45" s="31" t="s">
        <v>213</v>
      </c>
      <c r="D45" s="31"/>
      <c r="E45" s="31"/>
      <c r="F45" s="31"/>
      <c r="G45" s="31"/>
    </row>
    <row r="46" customFormat="false" ht="31.5" hidden="false" customHeight="true" outlineLevel="0" collapsed="false">
      <c r="A46" s="29" t="s">
        <v>214</v>
      </c>
      <c r="B46" s="30" t="s">
        <v>150</v>
      </c>
      <c r="C46" s="31" t="s">
        <v>215</v>
      </c>
      <c r="D46" s="31"/>
      <c r="E46" s="31"/>
      <c r="F46" s="31"/>
      <c r="G46" s="31"/>
    </row>
    <row r="47" customFormat="false" ht="31.5" hidden="false" customHeight="true" outlineLevel="0" collapsed="false">
      <c r="A47" s="29" t="s">
        <v>216</v>
      </c>
      <c r="B47" s="30" t="s">
        <v>151</v>
      </c>
      <c r="C47" s="31" t="s">
        <v>217</v>
      </c>
      <c r="D47" s="31"/>
      <c r="E47" s="31"/>
      <c r="F47" s="31"/>
      <c r="G47" s="31"/>
    </row>
    <row r="48" customFormat="false" ht="45.75" hidden="false" customHeight="true" outlineLevel="0" collapsed="false">
      <c r="A48" s="29" t="s">
        <v>218</v>
      </c>
      <c r="B48" s="30" t="s">
        <v>153</v>
      </c>
      <c r="C48" s="31" t="s">
        <v>219</v>
      </c>
      <c r="D48" s="31"/>
      <c r="E48" s="31"/>
      <c r="F48" s="31"/>
      <c r="G48" s="31"/>
    </row>
    <row r="49" customFormat="false" ht="45.75" hidden="false" customHeight="true" outlineLevel="0" collapsed="false">
      <c r="A49" s="29" t="s">
        <v>220</v>
      </c>
      <c r="B49" s="30" t="s">
        <v>154</v>
      </c>
      <c r="C49" s="31" t="s">
        <v>219</v>
      </c>
      <c r="D49" s="31"/>
      <c r="E49" s="31"/>
      <c r="F49" s="31"/>
      <c r="G49" s="31"/>
    </row>
    <row r="50" customFormat="false" ht="45.75" hidden="false" customHeight="true" outlineLevel="0" collapsed="false">
      <c r="A50" s="29" t="s">
        <v>221</v>
      </c>
      <c r="B50" s="30" t="s">
        <v>155</v>
      </c>
      <c r="C50" s="31" t="s">
        <v>219</v>
      </c>
      <c r="D50" s="31"/>
      <c r="E50" s="31"/>
      <c r="F50" s="31"/>
      <c r="G50" s="31"/>
    </row>
    <row r="51" customFormat="false" ht="45.75" hidden="false" customHeight="true" outlineLevel="0" collapsed="false">
      <c r="A51" s="29" t="s">
        <v>222</v>
      </c>
      <c r="B51" s="30" t="s">
        <v>156</v>
      </c>
      <c r="C51" s="31" t="s">
        <v>219</v>
      </c>
      <c r="D51" s="31"/>
      <c r="E51" s="31"/>
      <c r="F51" s="31"/>
      <c r="G51" s="31"/>
    </row>
    <row r="52" customFormat="false" ht="45.75" hidden="false" customHeight="true" outlineLevel="0" collapsed="false">
      <c r="A52" s="29" t="s">
        <v>223</v>
      </c>
      <c r="B52" s="30" t="s">
        <v>157</v>
      </c>
      <c r="C52" s="31" t="s">
        <v>219</v>
      </c>
      <c r="D52" s="31"/>
      <c r="E52" s="31"/>
      <c r="F52" s="31"/>
      <c r="G52" s="31"/>
    </row>
    <row r="53" customFormat="false" ht="31.5" hidden="false" customHeight="true" outlineLevel="0" collapsed="false">
      <c r="A53" s="29" t="s">
        <v>161</v>
      </c>
      <c r="B53" s="30" t="s">
        <v>162</v>
      </c>
      <c r="C53" s="31" t="s">
        <v>224</v>
      </c>
      <c r="D53" s="31"/>
      <c r="E53" s="31"/>
      <c r="F53" s="31"/>
      <c r="G53" s="31"/>
    </row>
    <row r="54" customFormat="false" ht="31.5" hidden="false" customHeight="true" outlineLevel="0" collapsed="false">
      <c r="A54" s="29" t="s">
        <v>164</v>
      </c>
      <c r="B54" s="30" t="s">
        <v>165</v>
      </c>
      <c r="C54" s="31" t="s">
        <v>225</v>
      </c>
      <c r="D54" s="31"/>
      <c r="E54" s="31"/>
      <c r="F54" s="31"/>
      <c r="G54" s="31"/>
    </row>
    <row r="55" customFormat="false" ht="31.5" hidden="false" customHeight="true" outlineLevel="0" collapsed="false">
      <c r="A55" s="29" t="s">
        <v>166</v>
      </c>
      <c r="B55" s="30" t="s">
        <v>167</v>
      </c>
      <c r="C55" s="31" t="s">
        <v>226</v>
      </c>
      <c r="D55" s="31"/>
      <c r="E55" s="31"/>
      <c r="F55" s="31"/>
      <c r="G55" s="31"/>
    </row>
    <row r="56" customFormat="false" ht="31.5" hidden="false" customHeight="true" outlineLevel="0" collapsed="false">
      <c r="A56" s="29" t="s">
        <v>168</v>
      </c>
      <c r="B56" s="30" t="s">
        <v>169</v>
      </c>
      <c r="C56" s="31" t="s">
        <v>227</v>
      </c>
      <c r="D56" s="31"/>
      <c r="E56" s="31"/>
      <c r="F56" s="31"/>
      <c r="G56" s="31"/>
    </row>
    <row r="57" customFormat="false" ht="31.5" hidden="false" customHeight="true" outlineLevel="0" collapsed="false">
      <c r="A57" s="29" t="s">
        <v>228</v>
      </c>
      <c r="B57" s="30" t="s">
        <v>152</v>
      </c>
      <c r="C57" s="31" t="s">
        <v>229</v>
      </c>
      <c r="D57" s="31"/>
      <c r="E57" s="31"/>
      <c r="F57" s="31"/>
      <c r="G57" s="31"/>
    </row>
    <row r="58" customFormat="false" ht="31.5" hidden="false" customHeight="true" outlineLevel="0" collapsed="false">
      <c r="A58" s="29" t="s">
        <v>230</v>
      </c>
      <c r="B58" s="30" t="s">
        <v>158</v>
      </c>
      <c r="C58" s="31" t="s">
        <v>231</v>
      </c>
      <c r="D58" s="31"/>
      <c r="E58" s="31"/>
      <c r="F58" s="31"/>
      <c r="G58" s="31"/>
    </row>
  </sheetData>
  <mergeCells count="28">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34375" defaultRowHeight="15" customHeight="false" zeroHeight="false" outlineLevelRow="0" outlineLevelCol="0"/>
  <cols>
    <col collapsed="false" customWidth="true" hidden="false" outlineLevel="0" max="1" min="1" style="0" width="62"/>
    <col collapsed="false" customWidth="true" hidden="false" outlineLevel="0" max="8" min="2" style="0" width="16"/>
  </cols>
  <sheetData>
    <row r="1" customFormat="false" ht="17.35" hidden="false" customHeight="false" outlineLevel="0" collapsed="false">
      <c r="A1" s="1" t="s">
        <v>232</v>
      </c>
    </row>
    <row r="2" customFormat="false" ht="15" hidden="false" customHeight="false" outlineLevel="0" collapsed="false">
      <c r="A2" s="2" t="s">
        <v>233</v>
      </c>
    </row>
    <row r="4" customFormat="false" ht="25.55" hidden="false" customHeight="false" outlineLevel="0" collapsed="false">
      <c r="A4" s="3" t="s">
        <v>49</v>
      </c>
      <c r="B4" s="3" t="s">
        <v>234</v>
      </c>
      <c r="C4" s="3" t="s">
        <v>235</v>
      </c>
      <c r="D4" s="3" t="s">
        <v>236</v>
      </c>
      <c r="E4" s="3" t="s">
        <v>237</v>
      </c>
      <c r="F4" s="3" t="s">
        <v>238</v>
      </c>
      <c r="G4" s="3" t="s">
        <v>239</v>
      </c>
      <c r="H4" s="3" t="s">
        <v>240</v>
      </c>
    </row>
    <row r="5" customFormat="false" ht="15" hidden="false" customHeight="false" outlineLevel="0" collapsed="false">
      <c r="A5" s="8" t="s">
        <v>241</v>
      </c>
      <c r="C5" s="32" t="n">
        <f aca="false">1</f>
        <v>1</v>
      </c>
      <c r="D5" s="32" t="n">
        <f aca="false">C5+1</f>
        <v>2</v>
      </c>
      <c r="E5" s="32" t="n">
        <f aca="false">D5+1</f>
        <v>3</v>
      </c>
      <c r="F5" s="32" t="n">
        <f aca="false">E5+1</f>
        <v>4</v>
      </c>
      <c r="G5" s="32" t="n">
        <f aca="false">F5+1</f>
        <v>5</v>
      </c>
    </row>
    <row r="6" customFormat="false" ht="15" hidden="false" customHeight="false" outlineLevel="0" collapsed="false">
      <c r="A6" s="4" t="s">
        <v>53</v>
      </c>
      <c r="B6" s="10" t="n">
        <f aca="false">'Dane historyczne'!$D$5</f>
        <v>200966</v>
      </c>
      <c r="C6" s="12" t="n">
        <f aca="false">B6*(1+C7)</f>
        <v>237139.88</v>
      </c>
      <c r="D6" s="12" t="n">
        <f aca="false">C6*(1+D7)</f>
        <v>272710.862</v>
      </c>
      <c r="E6" s="12" t="n">
        <f aca="false">D6*(1+E7)</f>
        <v>305436.16544</v>
      </c>
      <c r="F6" s="12" t="n">
        <f aca="false">E6*(1+F7)</f>
        <v>335979.781984</v>
      </c>
      <c r="G6" s="12" t="n">
        <f aca="false">F6*(1+G7)</f>
        <v>362858.16454272</v>
      </c>
      <c r="H6" s="12" t="n">
        <f aca="false">G6*(1+H7)</f>
        <v>373743.909479002</v>
      </c>
    </row>
    <row r="7" customFormat="false" ht="15" hidden="false" customHeight="false" outlineLevel="0" collapsed="false">
      <c r="A7" s="8" t="s">
        <v>242</v>
      </c>
      <c r="C7" s="9" t="n">
        <f aca="false">Założenia!$B$5</f>
        <v>0.18</v>
      </c>
      <c r="D7" s="9" t="n">
        <f aca="false">Założenia!$C$5</f>
        <v>0.15</v>
      </c>
      <c r="E7" s="9" t="n">
        <f aca="false">Założenia!$D$5</f>
        <v>0.12</v>
      </c>
      <c r="F7" s="9" t="n">
        <f aca="false">Założenia!$E$5</f>
        <v>0.1</v>
      </c>
      <c r="G7" s="9" t="n">
        <f aca="false">Założenia!$F$5</f>
        <v>0.08</v>
      </c>
      <c r="H7" s="9" t="n">
        <f aca="false">Założenia!$B$18</f>
        <v>0.03</v>
      </c>
    </row>
    <row r="8" customFormat="false" ht="15" hidden="false" customHeight="false" outlineLevel="0" collapsed="false">
      <c r="A8" s="8" t="s">
        <v>27</v>
      </c>
      <c r="C8" s="9" t="n">
        <f aca="false">Założenia!$B$7</f>
        <v>0.38</v>
      </c>
      <c r="D8" s="9" t="n">
        <f aca="false">Założenia!$C$7</f>
        <v>0.37</v>
      </c>
      <c r="E8" s="9" t="n">
        <f aca="false">Założenia!$D$7</f>
        <v>0.36</v>
      </c>
      <c r="F8" s="9" t="n">
        <f aca="false">Założenia!$E$7</f>
        <v>0.36</v>
      </c>
      <c r="G8" s="9" t="n">
        <f aca="false">Założenia!$F$7</f>
        <v>0.36</v>
      </c>
      <c r="H8" s="9" t="n">
        <f aca="false">Założenia!$G$7</f>
        <v>0.36</v>
      </c>
    </row>
    <row r="9" customFormat="false" ht="15" hidden="false" customHeight="false" outlineLevel="0" collapsed="false">
      <c r="A9" s="8" t="s">
        <v>243</v>
      </c>
      <c r="C9" s="12" t="n">
        <f aca="false">C6*C8</f>
        <v>90113.1544</v>
      </c>
      <c r="D9" s="12" t="n">
        <f aca="false">D6*D8</f>
        <v>100903.01894</v>
      </c>
      <c r="E9" s="12" t="n">
        <f aca="false">E6*E8</f>
        <v>109957.0195584</v>
      </c>
      <c r="F9" s="12" t="n">
        <f aca="false">F6*F8</f>
        <v>120952.72151424</v>
      </c>
      <c r="G9" s="12" t="n">
        <f aca="false">G6*G8</f>
        <v>130628.939235379</v>
      </c>
      <c r="H9" s="12" t="n">
        <f aca="false">H6*H8</f>
        <v>134547.807412441</v>
      </c>
    </row>
    <row r="10" customFormat="false" ht="15" hidden="false" customHeight="false" outlineLevel="0" collapsed="false">
      <c r="A10" s="8" t="s">
        <v>20</v>
      </c>
      <c r="C10" s="9" t="n">
        <f aca="false">Założenia!$B$15</f>
        <v>0.15</v>
      </c>
      <c r="D10" s="9" t="n">
        <f aca="false">Założenia!$B$15</f>
        <v>0.15</v>
      </c>
      <c r="E10" s="9" t="n">
        <f aca="false">Założenia!$B$15</f>
        <v>0.15</v>
      </c>
      <c r="F10" s="9" t="n">
        <f aca="false">Założenia!$B$15</f>
        <v>0.15</v>
      </c>
      <c r="G10" s="9" t="n">
        <f aca="false">Założenia!$B$15</f>
        <v>0.15</v>
      </c>
      <c r="H10" s="9" t="n">
        <f aca="false">Założenia!$B$15</f>
        <v>0.15</v>
      </c>
    </row>
    <row r="11" customFormat="false" ht="15" hidden="false" customHeight="false" outlineLevel="0" collapsed="false">
      <c r="A11" s="8" t="s">
        <v>244</v>
      </c>
      <c r="C11" s="12" t="n">
        <f aca="false">-C9*C10</f>
        <v>-13516.97316</v>
      </c>
      <c r="D11" s="12" t="n">
        <f aca="false">-D9*D10</f>
        <v>-15135.452841</v>
      </c>
      <c r="E11" s="12" t="n">
        <f aca="false">-E9*E10</f>
        <v>-16493.55293376</v>
      </c>
      <c r="F11" s="12" t="n">
        <f aca="false">-F9*F10</f>
        <v>-18142.908227136</v>
      </c>
      <c r="G11" s="12" t="n">
        <f aca="false">-G9*G10</f>
        <v>-19594.3408853069</v>
      </c>
      <c r="H11" s="12" t="n">
        <f aca="false">-H9*H10</f>
        <v>-20182.1711118661</v>
      </c>
    </row>
    <row r="12" customFormat="false" ht="15" hidden="false" customHeight="false" outlineLevel="0" collapsed="false">
      <c r="A12" s="4" t="s">
        <v>245</v>
      </c>
      <c r="C12" s="12" t="n">
        <f aca="false">C9+C11</f>
        <v>76596.18124</v>
      </c>
      <c r="D12" s="12" t="n">
        <f aca="false">D9+D11</f>
        <v>85767.566099</v>
      </c>
      <c r="E12" s="12" t="n">
        <f aca="false">E9+E11</f>
        <v>93463.46662464</v>
      </c>
      <c r="F12" s="12" t="n">
        <f aca="false">F9+F11</f>
        <v>102809.813287104</v>
      </c>
      <c r="G12" s="12" t="n">
        <f aca="false">G9+G11</f>
        <v>111034.598350072</v>
      </c>
      <c r="H12" s="12" t="n">
        <f aca="false">H9+H11</f>
        <v>114365.636300575</v>
      </c>
    </row>
    <row r="13" customFormat="false" ht="15" hidden="false" customHeight="false" outlineLevel="0" collapsed="false">
      <c r="A13" s="8" t="s">
        <v>127</v>
      </c>
      <c r="C13" s="9" t="n">
        <f aca="false">Założenia!$B$11</f>
        <v>0.12</v>
      </c>
      <c r="D13" s="9" t="n">
        <f aca="false">Założenia!$C$11</f>
        <v>0.14</v>
      </c>
      <c r="E13" s="9" t="n">
        <f aca="false">Założenia!$D$11</f>
        <v>0.16</v>
      </c>
      <c r="F13" s="9" t="n">
        <f aca="false">Założenia!$E$11</f>
        <v>0.16</v>
      </c>
      <c r="G13" s="9" t="n">
        <f aca="false">Założenia!$F$11</f>
        <v>0.16</v>
      </c>
      <c r="H13" s="9" t="n">
        <f aca="false">Założenia!$G$11</f>
        <v>0.16</v>
      </c>
    </row>
    <row r="14" customFormat="false" ht="15" hidden="false" customHeight="false" outlineLevel="0" collapsed="false">
      <c r="A14" s="8" t="s">
        <v>246</v>
      </c>
      <c r="C14" s="12" t="n">
        <f aca="false">C6*C13</f>
        <v>28456.7856</v>
      </c>
      <c r="D14" s="12" t="n">
        <f aca="false">D6*D13</f>
        <v>38179.52068</v>
      </c>
      <c r="E14" s="12" t="n">
        <f aca="false">E6*E13</f>
        <v>48869.7864704</v>
      </c>
      <c r="F14" s="12" t="n">
        <f aca="false">F6*F13</f>
        <v>53756.76511744</v>
      </c>
      <c r="G14" s="12" t="n">
        <f aca="false">G6*G13</f>
        <v>58057.3063268352</v>
      </c>
      <c r="H14" s="12" t="n">
        <f aca="false">H6*H13</f>
        <v>59799.0255166403</v>
      </c>
    </row>
    <row r="15" customFormat="false" ht="15" hidden="false" customHeight="false" outlineLevel="0" collapsed="false">
      <c r="A15" s="8" t="s">
        <v>124</v>
      </c>
      <c r="C15" s="9" t="n">
        <f aca="false">Założenia!$B$9</f>
        <v>0.52</v>
      </c>
      <c r="D15" s="9" t="n">
        <f aca="false">Założenia!$C$9</f>
        <v>0.45</v>
      </c>
      <c r="E15" s="9" t="n">
        <f aca="false">Założenia!$D$9</f>
        <v>0.38</v>
      </c>
      <c r="F15" s="9" t="n">
        <f aca="false">Założenia!$E$9</f>
        <v>0.28</v>
      </c>
      <c r="G15" s="9" t="n">
        <f aca="false">Założenia!$F$9</f>
        <v>0.22</v>
      </c>
      <c r="H15" s="9" t="n">
        <f aca="false">Założenia!$G$9</f>
        <v>0.19</v>
      </c>
    </row>
    <row r="16" customFormat="false" ht="15" hidden="false" customHeight="false" outlineLevel="0" collapsed="false">
      <c r="A16" s="8" t="s">
        <v>247</v>
      </c>
      <c r="C16" s="12" t="n">
        <f aca="false">-C6*C15</f>
        <v>-123312.7376</v>
      </c>
      <c r="D16" s="12" t="n">
        <f aca="false">-D6*D15</f>
        <v>-122719.8879</v>
      </c>
      <c r="E16" s="12" t="n">
        <f aca="false">-E6*E15</f>
        <v>-116065.7428672</v>
      </c>
      <c r="F16" s="12" t="n">
        <f aca="false">-F6*F15</f>
        <v>-94074.33895552</v>
      </c>
      <c r="G16" s="12" t="n">
        <f aca="false">-G6*G15</f>
        <v>-79828.7961993984</v>
      </c>
      <c r="H16" s="12" t="n">
        <f aca="false">-H6*H15</f>
        <v>-71011.3428010103</v>
      </c>
    </row>
    <row r="17" customFormat="false" ht="15" hidden="false" customHeight="false" outlineLevel="0" collapsed="false">
      <c r="A17" s="4" t="s">
        <v>248</v>
      </c>
      <c r="C17" s="33" t="n">
        <f aca="false">C12+C14+C16</f>
        <v>-18259.77076</v>
      </c>
      <c r="D17" s="33" t="n">
        <f aca="false">D12+D14+D16</f>
        <v>1227.198879</v>
      </c>
      <c r="E17" s="33" t="n">
        <f aca="false">E12+E14+E16</f>
        <v>26267.51022784</v>
      </c>
      <c r="F17" s="33" t="n">
        <f aca="false">F12+F14+F16</f>
        <v>62492.239449024</v>
      </c>
      <c r="G17" s="33" t="n">
        <f aca="false">G12+G14+G16</f>
        <v>89263.1084775091</v>
      </c>
      <c r="H17" s="33" t="n">
        <f aca="false">H12+H14+H16</f>
        <v>103153.319016204</v>
      </c>
    </row>
    <row r="18" customFormat="false" ht="15" hidden="false" customHeight="false" outlineLevel="0" collapsed="false">
      <c r="A18" s="8" t="s">
        <v>249</v>
      </c>
      <c r="C18" s="34" t="n">
        <f aca="false">1/(1+$B$24)^C5</f>
        <v>0.9000900090009</v>
      </c>
      <c r="D18" s="34" t="n">
        <f aca="false">1/(1+$B$24)^D5</f>
        <v>0.81016202430324</v>
      </c>
      <c r="E18" s="34" t="n">
        <f aca="false">1/(1+$B$24)^E5</f>
        <v>0.729218743747291</v>
      </c>
      <c r="F18" s="34" t="n">
        <f aca="false">1/(1+$B$24)^F5</f>
        <v>0.656362505623124</v>
      </c>
      <c r="G18" s="34" t="n">
        <f aca="false">1/(1+$B$24)^G5</f>
        <v>0.590785333594171</v>
      </c>
    </row>
    <row r="19" customFormat="false" ht="15" hidden="false" customHeight="false" outlineLevel="0" collapsed="false">
      <c r="A19" s="4" t="s">
        <v>250</v>
      </c>
      <c r="C19" s="33" t="n">
        <f aca="false">C17*C18</f>
        <v>-16435.4372277228</v>
      </c>
      <c r="D19" s="33" t="n">
        <f aca="false">D17*D18</f>
        <v>994.22992803331</v>
      </c>
      <c r="E19" s="33" t="n">
        <f aca="false">E17*E18</f>
        <v>19154.7608097146</v>
      </c>
      <c r="F19" s="33" t="n">
        <f aca="false">F17*F18</f>
        <v>41017.5628667617</v>
      </c>
      <c r="G19" s="33" t="n">
        <f aca="false">G17*G18</f>
        <v>52735.3353195379</v>
      </c>
    </row>
    <row r="21" customFormat="false" ht="15" hidden="false" customHeight="false" outlineLevel="0" collapsed="false">
      <c r="A21" s="3" t="s">
        <v>251</v>
      </c>
      <c r="B21" s="3" t="s">
        <v>3</v>
      </c>
    </row>
    <row r="22" customFormat="false" ht="15" hidden="false" customHeight="false" outlineLevel="0" collapsed="false">
      <c r="A22" s="8" t="s">
        <v>252</v>
      </c>
      <c r="B22" s="12" t="n">
        <f aca="false">SUM(C19:G19)</f>
        <v>97466.4516963247</v>
      </c>
    </row>
    <row r="23" customFormat="false" ht="15" hidden="false" customHeight="false" outlineLevel="0" collapsed="false">
      <c r="A23" s="8" t="s">
        <v>253</v>
      </c>
      <c r="B23" s="12" t="n">
        <f aca="false">H17</f>
        <v>103153.319016204</v>
      </c>
    </row>
    <row r="24" customFormat="false" ht="15" hidden="false" customHeight="false" outlineLevel="0" collapsed="false">
      <c r="A24" s="8" t="s">
        <v>7</v>
      </c>
      <c r="B24" s="9" t="n">
        <f aca="false">Założenia!$B$29</f>
        <v>0.111</v>
      </c>
    </row>
    <row r="25" customFormat="false" ht="15" hidden="false" customHeight="false" outlineLevel="0" collapsed="false">
      <c r="A25" s="8" t="s">
        <v>254</v>
      </c>
      <c r="B25" s="9" t="n">
        <f aca="false">Założenia!$B$18</f>
        <v>0.03</v>
      </c>
    </row>
    <row r="26" customFormat="false" ht="15" hidden="false" customHeight="false" outlineLevel="0" collapsed="false">
      <c r="A26" s="8" t="s">
        <v>255</v>
      </c>
      <c r="B26" s="12" t="n">
        <f aca="false">IF(B24&gt;B25,B23/(B24-B25),"WACC musi być większy od g")</f>
        <v>1273497.76563215</v>
      </c>
    </row>
    <row r="27" customFormat="false" ht="15" hidden="false" customHeight="false" outlineLevel="0" collapsed="false">
      <c r="A27" s="8" t="s">
        <v>256</v>
      </c>
      <c r="B27" s="12" t="n">
        <f aca="false">B26*G18</f>
        <v>752363.802300424</v>
      </c>
    </row>
    <row r="28" customFormat="false" ht="15" hidden="false" customHeight="false" outlineLevel="0" collapsed="false">
      <c r="A28" s="4" t="s">
        <v>257</v>
      </c>
      <c r="B28" s="33" t="n">
        <f aca="false">B22+B27</f>
        <v>849830.253996749</v>
      </c>
    </row>
    <row r="29" customFormat="false" ht="15" hidden="false" customHeight="false" outlineLevel="0" collapsed="false">
      <c r="A29" s="8" t="s">
        <v>258</v>
      </c>
      <c r="B29" s="10" t="n">
        <f aca="false">'Dane historyczne'!$B$35</f>
        <v>81592</v>
      </c>
    </row>
    <row r="30" customFormat="false" ht="15" hidden="false" customHeight="false" outlineLevel="0" collapsed="false">
      <c r="A30" s="8" t="s">
        <v>259</v>
      </c>
      <c r="B30" s="10" t="n">
        <f aca="false">-'Dane historyczne'!$B$18</f>
        <v>-58744</v>
      </c>
    </row>
    <row r="31" customFormat="false" ht="15" hidden="false" customHeight="false" outlineLevel="0" collapsed="false">
      <c r="A31" s="4" t="s">
        <v>260</v>
      </c>
      <c r="B31" s="33" t="n">
        <f aca="false">B28+B29+B30</f>
        <v>872678.253996749</v>
      </c>
    </row>
    <row r="32" customFormat="false" ht="15" hidden="false" customHeight="false" outlineLevel="0" collapsed="false">
      <c r="A32" s="8" t="s">
        <v>261</v>
      </c>
      <c r="B32" s="35" t="n">
        <f aca="false">'Dane historyczne'!$B$37</f>
        <v>2529.555464</v>
      </c>
    </row>
    <row r="33" customFormat="false" ht="15" hidden="false" customHeight="false" outlineLevel="0" collapsed="false">
      <c r="A33" s="4" t="s">
        <v>262</v>
      </c>
      <c r="B33" s="5" t="n">
        <f aca="false">B31/B32</f>
        <v>344.992733472931</v>
      </c>
    </row>
    <row r="34" customFormat="false" ht="15" hidden="false" customHeight="false" outlineLevel="0" collapsed="false">
      <c r="A34" s="8" t="s">
        <v>11</v>
      </c>
      <c r="B34" s="16" t="n">
        <f aca="false">B27/B28</f>
        <v>0.885310682647575</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cols>
    <col collapsed="false" customWidth="true" hidden="false" outlineLevel="0" max="1" min="1" style="0" width="40"/>
    <col collapsed="false" customWidth="true" hidden="false" outlineLevel="0" max="7" min="2" style="0" width="14"/>
  </cols>
  <sheetData>
    <row r="1" customFormat="false" ht="17.35" hidden="false" customHeight="false" outlineLevel="0" collapsed="false">
      <c r="A1" s="1" t="s">
        <v>263</v>
      </c>
    </row>
    <row r="2" customFormat="false" ht="15" hidden="false" customHeight="false" outlineLevel="0" collapsed="false">
      <c r="A2" s="2" t="s">
        <v>264</v>
      </c>
    </row>
    <row r="4" customFormat="false" ht="15" hidden="false" customHeight="false" outlineLevel="0" collapsed="false">
      <c r="A4" s="8" t="s">
        <v>265</v>
      </c>
      <c r="B4" s="18" t="n">
        <v>0.01</v>
      </c>
    </row>
    <row r="5" customFormat="false" ht="15" hidden="false" customHeight="false" outlineLevel="0" collapsed="false">
      <c r="A5" s="8" t="s">
        <v>266</v>
      </c>
      <c r="B5" s="18" t="n">
        <v>0.005</v>
      </c>
    </row>
    <row r="7" customFormat="false" ht="15" hidden="false" customHeight="false" outlineLevel="0" collapsed="false">
      <c r="C7" s="4" t="s">
        <v>267</v>
      </c>
    </row>
    <row r="8" customFormat="false" ht="15" hidden="false" customHeight="false" outlineLevel="0" collapsed="false">
      <c r="A8" s="4" t="s">
        <v>268</v>
      </c>
      <c r="C8" s="36" t="n">
        <f aca="false">Założenia!$B$29+(-2)*$B$4</f>
        <v>0.091</v>
      </c>
      <c r="D8" s="36" t="n">
        <f aca="false">Założenia!$B$29+(-1)*$B$4</f>
        <v>0.101</v>
      </c>
      <c r="E8" s="36" t="n">
        <f aca="false">Założenia!$B$29+(0)*$B$4</f>
        <v>0.111</v>
      </c>
      <c r="F8" s="36" t="n">
        <f aca="false">Założenia!$B$29+(1)*$B$4</f>
        <v>0.121</v>
      </c>
      <c r="G8" s="36" t="n">
        <f aca="false">Założenia!$B$29+(2)*$B$4</f>
        <v>0.131</v>
      </c>
    </row>
    <row r="9" customFormat="false" ht="15" hidden="false" customHeight="false" outlineLevel="0" collapsed="false">
      <c r="B9" s="36" t="n">
        <f aca="false">Założenia!$B$18+(-2)*$B$5</f>
        <v>0.02</v>
      </c>
      <c r="C9" s="37" t="n">
        <f aca="false">IF(C$8&gt;$B9,(SUMPRODUCT(DCF!$C$17:$G$17/(1+C$8)^DCF!$C$5:$G$5)+DCF!$G$6*(1+$B9)*(DCF!$H$8*(1-DCF!$H$10)+DCF!$H$13-DCF!$H$15)/(C$8-$B9)/(1+C$8)^DCF!$G$5+DCF!$B$29+DCF!$B$30)/'Dane historyczne'!$B$37,"-")</f>
        <v>419.06368969096</v>
      </c>
      <c r="D9" s="37" t="n">
        <f aca="false">IF(D$8&gt;$B9,(SUMPRODUCT(DCF!$C$17:$G$17/(1+D$8)^DCF!$C$5:$G$5)+DCF!$G$6*(1+$B9)*(DCF!$H$8*(1-DCF!$H$10)+DCF!$H$13-DCF!$H$15)/(D$8-$B9)/(1+D$8)^DCF!$G$5+DCF!$B$29+DCF!$B$30)/'Dane historyczne'!$B$37,"-")</f>
        <v>357.44403646611</v>
      </c>
      <c r="E9" s="37" t="n">
        <f aca="false">IF(E$8&gt;$B9,(SUMPRODUCT(DCF!$C$17:$G$17/(1+E$8)^DCF!$C$5:$G$5)+DCF!$G$6*(1+$B9)*(DCF!$H$8*(1-DCF!$H$10)+DCF!$H$13-DCF!$H$15)/(E$8-$B9)/(1+E$8)^DCF!$G$5+DCF!$B$29+DCF!$B$30)/'Dane historyczne'!$B$37,"-")</f>
        <v>309.737862612794</v>
      </c>
      <c r="F9" s="37" t="n">
        <f aca="false">IF(F$8&gt;$B9,(SUMPRODUCT(DCF!$C$17:$G$17/(1+F$8)^DCF!$C$5:$G$5)+DCF!$G$6*(1+$B9)*(DCF!$H$8*(1-DCF!$H$10)+DCF!$H$13-DCF!$H$15)/(F$8-$B9)/(1+F$8)^DCF!$G$5+DCF!$B$29+DCF!$B$30)/'Dane historyczne'!$B$37,"-")</f>
        <v>271.796132740398</v>
      </c>
      <c r="G9" s="37" t="n">
        <f aca="false">IF(G$8&gt;$B9,(SUMPRODUCT(DCF!$C$17:$G$17/(1+G$8)^DCF!$C$5:$G$5)+DCF!$G$6*(1+$B9)*(DCF!$H$8*(1-DCF!$H$10)+DCF!$H$13-DCF!$H$15)/(G$8-$B9)/(1+G$8)^DCF!$G$5+DCF!$B$29+DCF!$B$30)/'Dane historyczne'!$B$37,"-")</f>
        <v>240.965832678504</v>
      </c>
    </row>
    <row r="10" customFormat="false" ht="15" hidden="false" customHeight="false" outlineLevel="0" collapsed="false">
      <c r="B10" s="36" t="n">
        <f aca="false">Założenia!$B$18+(-1)*$B$5</f>
        <v>0.025</v>
      </c>
      <c r="C10" s="37" t="n">
        <f aca="false">IF(C$8&gt;$B10,(SUMPRODUCT(DCF!$C$17:$G$17/(1+C$8)^DCF!$C$5:$G$5)+DCF!$G$6*(1+$B10)*(DCF!$H$8*(1-DCF!$H$10)+DCF!$H$13-DCF!$H$15)/(C$8-$B10)/(1+C$8)^DCF!$G$5+DCF!$B$29+DCF!$B$30)/'Dane historyczne'!$B$37,"-")</f>
        <v>448.881139223656</v>
      </c>
      <c r="D10" s="37" t="n">
        <f aca="false">IF(D$8&gt;$B10,(SUMPRODUCT(DCF!$C$17:$G$17/(1+D$8)^DCF!$C$5:$G$5)+DCF!$G$6*(1+$B10)*(DCF!$H$8*(1-DCF!$H$10)+DCF!$H$13-DCF!$H$15)/(D$8-$B10)/(1+D$8)^DCF!$G$5+DCF!$B$29+DCF!$B$30)/'Dane historyczne'!$B$37,"-")</f>
        <v>379.327894686227</v>
      </c>
      <c r="E10" s="37" t="n">
        <f aca="false">IF(E$8&gt;$B10,(SUMPRODUCT(DCF!$C$17:$G$17/(1+E$8)^DCF!$C$5:$G$5)+DCF!$G$6*(1+$B10)*(DCF!$H$8*(1-DCF!$H$10)+DCF!$H$13-DCF!$H$15)/(E$8-$B10)/(1+E$8)^DCF!$G$5+DCF!$B$29+DCF!$B$30)/'Dane historyczne'!$B$37,"-")</f>
        <v>326.340447145765</v>
      </c>
      <c r="F10" s="37" t="n">
        <f aca="false">IF(F$8&gt;$B10,(SUMPRODUCT(DCF!$C$17:$G$17/(1+F$8)^DCF!$C$5:$G$5)+DCF!$G$6*(1+$B10)*(DCF!$H$8*(1-DCF!$H$10)+DCF!$H$13-DCF!$H$15)/(F$8-$B10)/(1+F$8)^DCF!$G$5+DCF!$B$29+DCF!$B$30)/'Dane historyczne'!$B$37,"-")</f>
        <v>284.724888235401</v>
      </c>
      <c r="G10" s="37" t="n">
        <f aca="false">IF(G$8&gt;$B10,(SUMPRODUCT(DCF!$C$17:$G$17/(1+G$8)^DCF!$C$5:$G$5)+DCF!$G$6*(1+$B10)*(DCF!$H$8*(1-DCF!$H$10)+DCF!$H$13-DCF!$H$15)/(G$8-$B10)/(1+G$8)^DCF!$G$5+DCF!$B$29+DCF!$B$30)/'Dane historyczne'!$B$37,"-")</f>
        <v>251.24818582816</v>
      </c>
    </row>
    <row r="11" customFormat="false" ht="15" hidden="false" customHeight="false" outlineLevel="0" collapsed="false">
      <c r="B11" s="36" t="n">
        <f aca="false">Założenia!$B$18+(0)*$B$5</f>
        <v>0.03</v>
      </c>
      <c r="C11" s="37" t="n">
        <f aca="false">IF(C$8&gt;$B11,(SUMPRODUCT(DCF!$C$17:$G$17/(1+C$8)^DCF!$C$5:$G$5)+DCF!$G$6*(1+$B11)*(DCF!$H$8*(1-DCF!$H$10)+DCF!$H$13-DCF!$H$15)/(C$8-$B11)/(1+C$8)^DCF!$G$5+DCF!$B$29+DCF!$B$30)/'Dane historyczne'!$B$37,"-")</f>
        <v>483.586695237122</v>
      </c>
      <c r="D11" s="37" t="n">
        <f aca="false">IF(D$8&gt;$B11,(SUMPRODUCT(DCF!$C$17:$G$17/(1+D$8)^DCF!$C$5:$G$5)+DCF!$G$6*(1+$B11)*(DCF!$H$8*(1-DCF!$H$10)+DCF!$H$13-DCF!$H$15)/(D$8-$B11)/(1+D$8)^DCF!$G$5+DCF!$B$29+DCF!$B$30)/'Dane historyczne'!$B$37,"-")</f>
        <v>404.293986458474</v>
      </c>
      <c r="E11" s="38" t="n">
        <f aca="false">IF(E$8&gt;$B11,(SUMPRODUCT(DCF!$C$17:$G$17/(1+E$8)^DCF!$C$5:$G$5)+DCF!$G$6*(1+$B11)*(DCF!$H$8*(1-DCF!$H$10)+DCF!$H$13-DCF!$H$15)/(E$8-$B11)/(1+E$8)^DCF!$G$5+DCF!$B$29+DCF!$B$30)/'Dane historyczne'!$B$37,"-")</f>
        <v>344.992733472931</v>
      </c>
      <c r="F11" s="37" t="n">
        <f aca="false">IF(F$8&gt;$B11,(SUMPRODUCT(DCF!$C$17:$G$17/(1+F$8)^DCF!$C$5:$G$5)+DCF!$G$6*(1+$B11)*(DCF!$H$8*(1-DCF!$H$10)+DCF!$H$13-DCF!$H$15)/(F$8-$B11)/(1+F$8)^DCF!$G$5+DCF!$B$29+DCF!$B$30)/'Dane historyczne'!$B$37,"-")</f>
        <v>299.074386092493</v>
      </c>
      <c r="G11" s="37" t="n">
        <f aca="false">IF(G$8&gt;$B11,(SUMPRODUCT(DCF!$C$17:$G$17/(1+G$8)^DCF!$C$5:$G$5)+DCF!$G$6*(1+$B11)*(DCF!$H$8*(1-DCF!$H$10)+DCF!$H$13-DCF!$H$15)/(G$8-$B11)/(1+G$8)^DCF!$G$5+DCF!$B$29+DCF!$B$30)/'Dane historyczne'!$B$37,"-")</f>
        <v>262.548593745108</v>
      </c>
    </row>
    <row r="12" customFormat="false" ht="15" hidden="false" customHeight="false" outlineLevel="0" collapsed="false">
      <c r="B12" s="36" t="n">
        <f aca="false">Założenia!$B$18+(1)*$B$5</f>
        <v>0.035</v>
      </c>
      <c r="C12" s="37" t="n">
        <f aca="false">IF(C$8&gt;$B12,(SUMPRODUCT(DCF!$C$17:$G$17/(1+C$8)^DCF!$C$5:$G$5)+DCF!$G$6*(1+$B12)*(DCF!$H$8*(1-DCF!$H$10)+DCF!$H$13-DCF!$H$15)/(C$8-$B12)/(1+C$8)^DCF!$G$5+DCF!$B$29+DCF!$B$30)/'Dane historyczne'!$B$37,"-")</f>
        <v>524.489671967279</v>
      </c>
      <c r="D12" s="37" t="n">
        <f aca="false">IF(D$8&gt;$B12,(SUMPRODUCT(DCF!$C$17:$G$17/(1+D$8)^DCF!$C$5:$G$5)+DCF!$G$6*(1+$B12)*(DCF!$H$8*(1-DCF!$H$10)+DCF!$H$13-DCF!$H$15)/(D$8-$B12)/(1+D$8)^DCF!$G$5+DCF!$B$29+DCF!$B$30)/'Dane historyczne'!$B$37,"-")</f>
        <v>433.042819408333</v>
      </c>
      <c r="E12" s="37" t="n">
        <f aca="false">IF(E$8&gt;$B12,(SUMPRODUCT(DCF!$C$17:$G$17/(1+E$8)^DCF!$C$5:$G$5)+DCF!$G$6*(1+$B12)*(DCF!$H$8*(1-DCF!$H$10)+DCF!$H$13-DCF!$H$15)/(E$8-$B12)/(1+E$8)^DCF!$G$5+DCF!$B$29+DCF!$B$30)/'Dane historyczne'!$B$37,"-")</f>
        <v>366.09926800104</v>
      </c>
      <c r="F12" s="37" t="n">
        <f aca="false">IF(F$8&gt;$B12,(SUMPRODUCT(DCF!$C$17:$G$17/(1+F$8)^DCF!$C$5:$G$5)+DCF!$G$6*(1+$B12)*(DCF!$H$8*(1-DCF!$H$10)+DCF!$H$13-DCF!$H$15)/(F$8-$B12)/(1+F$8)^DCF!$G$5+DCF!$B$29+DCF!$B$30)/'Dane historyczne'!$B$37,"-")</f>
        <v>315.092430212037</v>
      </c>
      <c r="G12" s="37" t="n">
        <f aca="false">IF(G$8&gt;$B12,(SUMPRODUCT(DCF!$C$17:$G$17/(1+G$8)^DCF!$C$5:$G$5)+DCF!$G$6*(1+$B12)*(DCF!$H$8*(1-DCF!$H$10)+DCF!$H$13-DCF!$H$15)/(G$8-$B12)/(1+G$8)^DCF!$G$5+DCF!$B$29+DCF!$B$30)/'Dane historyczne'!$B$37,"-")</f>
        <v>275.026127486739</v>
      </c>
    </row>
    <row r="13" customFormat="false" ht="15" hidden="false" customHeight="false" outlineLevel="0" collapsed="false">
      <c r="B13" s="36" t="n">
        <f aca="false">Założenia!$B$18+(2)*$B$5</f>
        <v>0.04</v>
      </c>
      <c r="C13" s="37" t="n">
        <f aca="false">IF(C$8&gt;$B13,(SUMPRODUCT(DCF!$C$17:$G$17/(1+C$8)^DCF!$C$5:$G$5)+DCF!$G$6*(1+$B13)*(DCF!$H$8*(1-DCF!$H$10)+DCF!$H$13-DCF!$H$15)/(C$8-$B13)/(1+C$8)^DCF!$G$5+DCF!$B$29+DCF!$B$30)/'Dane historyczne'!$B$37,"-")</f>
        <v>573.412840213152</v>
      </c>
      <c r="D13" s="37" t="n">
        <f aca="false">IF(D$8&gt;$B13,(SUMPRODUCT(DCF!$C$17:$G$17/(1+D$8)^DCF!$C$5:$G$5)+DCF!$G$6*(1+$B13)*(DCF!$H$8*(1-DCF!$H$10)+DCF!$H$13-DCF!$H$15)/(D$8-$B13)/(1+D$8)^DCF!$G$5+DCF!$B$29+DCF!$B$30)/'Dane historyczne'!$B$37,"-")</f>
        <v>466.504575792596</v>
      </c>
      <c r="E13" s="37" t="n">
        <f aca="false">IF(E$8&gt;$B13,(SUMPRODUCT(DCF!$C$17:$G$17/(1+E$8)^DCF!$C$5:$G$5)+DCF!$G$6*(1+$B13)*(DCF!$H$8*(1-DCF!$H$10)+DCF!$H$13-DCF!$H$15)/(E$8-$B13)/(1+E$8)^DCF!$G$5+DCF!$B$29+DCF!$B$30)/'Dane historyczne'!$B$37,"-")</f>
        <v>390.178553871136</v>
      </c>
      <c r="F13" s="37" t="n">
        <f aca="false">IF(F$8&gt;$B13,(SUMPRODUCT(DCF!$C$17:$G$17/(1+F$8)^DCF!$C$5:$G$5)+DCF!$G$6*(1+$B13)*(DCF!$H$8*(1-DCF!$H$10)+DCF!$H$13-DCF!$H$15)/(F$8-$B13)/(1+F$8)^DCF!$G$5+DCF!$B$29+DCF!$B$30)/'Dane historyczne'!$B$37,"-")</f>
        <v>333.088010642636</v>
      </c>
      <c r="G13" s="37" t="n">
        <f aca="false">IF(G$8&gt;$B13,(SUMPRODUCT(DCF!$C$17:$G$17/(1+G$8)^DCF!$C$5:$G$5)+DCF!$G$6*(1+$B13)*(DCF!$H$8*(1-DCF!$H$10)+DCF!$H$13-DCF!$H$15)/(G$8-$B13)/(1+G$8)^DCF!$G$5+DCF!$B$29+DCF!$B$30)/'Dane historyczne'!$B$37,"-")</f>
        <v>288.874818782395</v>
      </c>
    </row>
    <row r="15" customFormat="false" ht="15" hidden="false" customHeight="false" outlineLevel="0" collapsed="false">
      <c r="A15" s="8" t="s">
        <v>5</v>
      </c>
      <c r="B15" s="6" t="n">
        <f aca="false">Założenia!$B$20</f>
        <v>709.33</v>
      </c>
    </row>
    <row r="16" customFormat="false" ht="15" hidden="false" customHeight="false" outlineLevel="0" collapsed="false">
      <c r="A16" s="8" t="s">
        <v>269</v>
      </c>
      <c r="B16" s="6" t="n">
        <f aca="false">DCF!$B$33</f>
        <v>344.992733472931</v>
      </c>
    </row>
    <row r="17" customFormat="false" ht="15" hidden="false" customHeight="false" outlineLevel="0" collapsed="false">
      <c r="A17" s="8" t="s">
        <v>270</v>
      </c>
      <c r="B17" s="26" t="str">
        <f aca="false">IF(ABS(E11-B16)&lt;0.01,"OK","BŁĄD")</f>
        <v>OK</v>
      </c>
    </row>
  </sheetData>
  <conditionalFormatting sqref="C9:G13">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40"/>
    <col collapsed="false" customWidth="true" hidden="false" outlineLevel="0" max="4" min="4" style="0" width="34"/>
    <col collapsed="false" customWidth="true" hidden="false" outlineLevel="0" max="5" min="5" style="0" width="14"/>
    <col collapsed="false" customWidth="true" hidden="false" outlineLevel="0" max="6" min="6" style="0" width="10"/>
    <col collapsed="false" customWidth="true" hidden="false" outlineLevel="0" max="7" min="7" style="0" width="12"/>
    <col collapsed="false" customWidth="true" hidden="false" outlineLevel="0" max="8" min="8" style="0" width="24"/>
    <col collapsed="false" customWidth="true" hidden="false" outlineLevel="0" max="9" min="9" style="0" width="12"/>
    <col collapsed="false" customWidth="true" hidden="false" outlineLevel="0" max="10" min="10" style="0" width="48"/>
    <col collapsed="false" customWidth="true" hidden="false" outlineLevel="0" max="11" min="11" style="0" width="70"/>
  </cols>
  <sheetData>
    <row r="1" customFormat="false" ht="17.35" hidden="false" customHeight="false" outlineLevel="0" collapsed="false">
      <c r="A1" s="1" t="s">
        <v>271</v>
      </c>
    </row>
    <row r="3" customFormat="false" ht="15" hidden="false" customHeight="false" outlineLevel="0" collapsed="false">
      <c r="A3" s="3" t="s">
        <v>65</v>
      </c>
      <c r="B3" s="3" t="s">
        <v>272</v>
      </c>
      <c r="C3" s="3" t="s">
        <v>273</v>
      </c>
      <c r="D3" s="3" t="s">
        <v>274</v>
      </c>
      <c r="E3" s="3" t="s">
        <v>275</v>
      </c>
      <c r="F3" s="3" t="s">
        <v>276</v>
      </c>
      <c r="G3" s="3" t="s">
        <v>277</v>
      </c>
      <c r="H3" s="3" t="s">
        <v>278</v>
      </c>
      <c r="I3" s="3" t="s">
        <v>279</v>
      </c>
      <c r="J3" s="3" t="s">
        <v>280</v>
      </c>
      <c r="K3" s="3" t="s">
        <v>281</v>
      </c>
    </row>
    <row r="4" customFormat="false" ht="42.75" hidden="false" customHeight="true" outlineLevel="0" collapsed="false">
      <c r="A4" s="39" t="s">
        <v>56</v>
      </c>
      <c r="B4" s="39" t="s">
        <v>282</v>
      </c>
      <c r="C4" s="39" t="s">
        <v>283</v>
      </c>
      <c r="D4" s="29" t="s">
        <v>284</v>
      </c>
      <c r="E4" s="40" t="n">
        <v>200966</v>
      </c>
      <c r="F4" s="39" t="s">
        <v>67</v>
      </c>
      <c r="G4" s="39" t="s">
        <v>31</v>
      </c>
      <c r="H4" s="29" t="s">
        <v>285</v>
      </c>
      <c r="I4" s="29" t="s">
        <v>286</v>
      </c>
      <c r="J4" s="29" t="s">
        <v>287</v>
      </c>
      <c r="K4" s="29" t="s">
        <v>288</v>
      </c>
    </row>
    <row r="5" customFormat="false" ht="42.75" hidden="false" customHeight="true" outlineLevel="0" collapsed="false">
      <c r="A5" s="39" t="s">
        <v>55</v>
      </c>
      <c r="B5" s="39" t="s">
        <v>282</v>
      </c>
      <c r="C5" s="39" t="s">
        <v>289</v>
      </c>
      <c r="D5" s="29" t="s">
        <v>284</v>
      </c>
      <c r="E5" s="40" t="n">
        <v>164501</v>
      </c>
      <c r="F5" s="39" t="s">
        <v>67</v>
      </c>
      <c r="G5" s="39" t="s">
        <v>30</v>
      </c>
      <c r="H5" s="29" t="s">
        <v>285</v>
      </c>
      <c r="I5" s="29" t="s">
        <v>286</v>
      </c>
      <c r="J5" s="29" t="s">
        <v>287</v>
      </c>
      <c r="K5" s="29" t="s">
        <v>288</v>
      </c>
    </row>
    <row r="6" customFormat="false" ht="42.75" hidden="false" customHeight="true" outlineLevel="0" collapsed="false">
      <c r="A6" s="39" t="s">
        <v>54</v>
      </c>
      <c r="B6" s="39" t="s">
        <v>282</v>
      </c>
      <c r="C6" s="39" t="s">
        <v>290</v>
      </c>
      <c r="D6" s="29" t="s">
        <v>284</v>
      </c>
      <c r="E6" s="40" t="n">
        <v>134902</v>
      </c>
      <c r="F6" s="39" t="s">
        <v>67</v>
      </c>
      <c r="G6" s="39" t="s">
        <v>29</v>
      </c>
      <c r="H6" s="29" t="s">
        <v>285</v>
      </c>
      <c r="I6" s="29" t="s">
        <v>286</v>
      </c>
      <c r="J6" s="29" t="s">
        <v>287</v>
      </c>
      <c r="K6" s="29" t="s">
        <v>288</v>
      </c>
    </row>
    <row r="7" customFormat="false" ht="42.75" hidden="false" customHeight="true" outlineLevel="0" collapsed="false">
      <c r="A7" s="39" t="s">
        <v>60</v>
      </c>
      <c r="B7" s="39" t="s">
        <v>282</v>
      </c>
      <c r="C7" s="39" t="s">
        <v>291</v>
      </c>
      <c r="D7" s="29" t="s">
        <v>57</v>
      </c>
      <c r="E7" s="40" t="n">
        <v>83276</v>
      </c>
      <c r="F7" s="39" t="s">
        <v>67</v>
      </c>
      <c r="G7" s="39" t="s">
        <v>31</v>
      </c>
      <c r="H7" s="29" t="s">
        <v>285</v>
      </c>
      <c r="I7" s="29" t="s">
        <v>286</v>
      </c>
      <c r="J7" s="29" t="s">
        <v>287</v>
      </c>
      <c r="K7" s="29" t="s">
        <v>292</v>
      </c>
    </row>
    <row r="8" customFormat="false" ht="42.75" hidden="false" customHeight="true" outlineLevel="0" collapsed="false">
      <c r="A8" s="39" t="s">
        <v>59</v>
      </c>
      <c r="B8" s="39" t="s">
        <v>282</v>
      </c>
      <c r="C8" s="39" t="s">
        <v>293</v>
      </c>
      <c r="D8" s="29" t="s">
        <v>57</v>
      </c>
      <c r="E8" s="40" t="n">
        <v>69380</v>
      </c>
      <c r="F8" s="39" t="s">
        <v>67</v>
      </c>
      <c r="G8" s="39" t="s">
        <v>30</v>
      </c>
      <c r="H8" s="29" t="s">
        <v>285</v>
      </c>
      <c r="I8" s="29" t="s">
        <v>286</v>
      </c>
      <c r="J8" s="29" t="s">
        <v>287</v>
      </c>
      <c r="K8" s="29" t="s">
        <v>292</v>
      </c>
    </row>
    <row r="9" customFormat="false" ht="42.75" hidden="false" customHeight="true" outlineLevel="0" collapsed="false">
      <c r="A9" s="39" t="s">
        <v>58</v>
      </c>
      <c r="B9" s="39" t="s">
        <v>282</v>
      </c>
      <c r="C9" s="39" t="s">
        <v>294</v>
      </c>
      <c r="D9" s="29" t="s">
        <v>57</v>
      </c>
      <c r="E9" s="40" t="n">
        <v>46751</v>
      </c>
      <c r="F9" s="39" t="s">
        <v>67</v>
      </c>
      <c r="G9" s="39" t="s">
        <v>29</v>
      </c>
      <c r="H9" s="29" t="s">
        <v>285</v>
      </c>
      <c r="I9" s="29" t="s">
        <v>286</v>
      </c>
      <c r="J9" s="29" t="s">
        <v>287</v>
      </c>
      <c r="K9" s="29" t="s">
        <v>292</v>
      </c>
    </row>
    <row r="10" customFormat="false" ht="42.75" hidden="false" customHeight="true" outlineLevel="0" collapsed="false">
      <c r="A10" s="39" t="s">
        <v>68</v>
      </c>
      <c r="B10" s="39" t="s">
        <v>282</v>
      </c>
      <c r="C10" s="39" t="s">
        <v>295</v>
      </c>
      <c r="D10" s="29" t="s">
        <v>66</v>
      </c>
      <c r="E10" s="40" t="n">
        <v>60458</v>
      </c>
      <c r="F10" s="39" t="s">
        <v>67</v>
      </c>
      <c r="G10" s="39" t="s">
        <v>31</v>
      </c>
      <c r="H10" s="29" t="s">
        <v>285</v>
      </c>
      <c r="I10" s="29" t="s">
        <v>286</v>
      </c>
      <c r="J10" s="29" t="s">
        <v>287</v>
      </c>
      <c r="K10" s="29" t="s">
        <v>296</v>
      </c>
    </row>
    <row r="11" customFormat="false" ht="42.75" hidden="false" customHeight="true" outlineLevel="0" collapsed="false">
      <c r="A11" s="39" t="s">
        <v>70</v>
      </c>
      <c r="B11" s="39" t="s">
        <v>282</v>
      </c>
      <c r="C11" s="39" t="s">
        <v>297</v>
      </c>
      <c r="D11" s="29" t="s">
        <v>69</v>
      </c>
      <c r="E11" s="40" t="n">
        <v>18616</v>
      </c>
      <c r="F11" s="39" t="s">
        <v>67</v>
      </c>
      <c r="G11" s="39" t="s">
        <v>31</v>
      </c>
      <c r="H11" s="29" t="s">
        <v>285</v>
      </c>
      <c r="I11" s="29" t="s">
        <v>298</v>
      </c>
      <c r="J11" s="29" t="s">
        <v>287</v>
      </c>
      <c r="K11" s="29" t="s">
        <v>299</v>
      </c>
    </row>
    <row r="12" customFormat="false" ht="55.5" hidden="false" customHeight="true" outlineLevel="0" collapsed="false">
      <c r="A12" s="39" t="s">
        <v>72</v>
      </c>
      <c r="B12" s="39" t="s">
        <v>282</v>
      </c>
      <c r="C12" s="39" t="s">
        <v>300</v>
      </c>
      <c r="D12" s="29" t="s">
        <v>71</v>
      </c>
      <c r="E12" s="40" t="n">
        <v>-69691</v>
      </c>
      <c r="F12" s="39" t="s">
        <v>67</v>
      </c>
      <c r="G12" s="39" t="s">
        <v>31</v>
      </c>
      <c r="H12" s="29" t="s">
        <v>285</v>
      </c>
      <c r="I12" s="29" t="s">
        <v>298</v>
      </c>
      <c r="J12" s="29" t="s">
        <v>287</v>
      </c>
      <c r="K12" s="29" t="s">
        <v>301</v>
      </c>
    </row>
    <row r="13" customFormat="false" ht="42.75" hidden="false" customHeight="true" outlineLevel="0" collapsed="false">
      <c r="A13" s="39" t="s">
        <v>74</v>
      </c>
      <c r="B13" s="39" t="s">
        <v>282</v>
      </c>
      <c r="C13" s="39" t="s">
        <v>302</v>
      </c>
      <c r="D13" s="29" t="s">
        <v>73</v>
      </c>
      <c r="E13" s="40" t="n">
        <v>85932</v>
      </c>
      <c r="F13" s="39" t="s">
        <v>67</v>
      </c>
      <c r="G13" s="39" t="s">
        <v>31</v>
      </c>
      <c r="H13" s="29" t="s">
        <v>285</v>
      </c>
      <c r="I13" s="29" t="s">
        <v>286</v>
      </c>
      <c r="J13" s="29" t="s">
        <v>287</v>
      </c>
      <c r="K13" s="29" t="s">
        <v>303</v>
      </c>
    </row>
    <row r="14" customFormat="false" ht="42.75" hidden="false" customHeight="true" outlineLevel="0" collapsed="false">
      <c r="A14" s="39" t="s">
        <v>76</v>
      </c>
      <c r="B14" s="39" t="s">
        <v>282</v>
      </c>
      <c r="C14" s="39" t="s">
        <v>304</v>
      </c>
      <c r="D14" s="29" t="s">
        <v>75</v>
      </c>
      <c r="E14" s="40" t="n">
        <v>25474</v>
      </c>
      <c r="F14" s="39" t="s">
        <v>67</v>
      </c>
      <c r="G14" s="39" t="s">
        <v>31</v>
      </c>
      <c r="H14" s="29" t="s">
        <v>285</v>
      </c>
      <c r="I14" s="29" t="s">
        <v>286</v>
      </c>
      <c r="J14" s="29" t="s">
        <v>287</v>
      </c>
      <c r="K14" s="29" t="s">
        <v>305</v>
      </c>
    </row>
    <row r="15" customFormat="false" ht="42.75" hidden="false" customHeight="true" outlineLevel="0" collapsed="false">
      <c r="A15" s="39" t="s">
        <v>79</v>
      </c>
      <c r="B15" s="39" t="s">
        <v>282</v>
      </c>
      <c r="C15" s="39" t="s">
        <v>306</v>
      </c>
      <c r="D15" s="29" t="s">
        <v>77</v>
      </c>
      <c r="E15" s="40" t="n">
        <v>35873</v>
      </c>
      <c r="F15" s="39" t="s">
        <v>67</v>
      </c>
      <c r="G15" s="39" t="s">
        <v>78</v>
      </c>
      <c r="H15" s="29" t="s">
        <v>285</v>
      </c>
      <c r="I15" s="29" t="s">
        <v>307</v>
      </c>
      <c r="J15" s="29" t="s">
        <v>287</v>
      </c>
      <c r="K15" s="29" t="s">
        <v>308</v>
      </c>
    </row>
    <row r="16" customFormat="false" ht="42.75" hidden="false" customHeight="true" outlineLevel="0" collapsed="false">
      <c r="A16" s="39" t="s">
        <v>81</v>
      </c>
      <c r="B16" s="39" t="s">
        <v>282</v>
      </c>
      <c r="C16" s="39" t="s">
        <v>309</v>
      </c>
      <c r="D16" s="29" t="s">
        <v>80</v>
      </c>
      <c r="E16" s="40" t="n">
        <v>45719</v>
      </c>
      <c r="F16" s="39" t="s">
        <v>67</v>
      </c>
      <c r="G16" s="39" t="s">
        <v>78</v>
      </c>
      <c r="H16" s="29" t="s">
        <v>285</v>
      </c>
      <c r="I16" s="29" t="s">
        <v>307</v>
      </c>
      <c r="J16" s="29" t="s">
        <v>287</v>
      </c>
      <c r="K16" s="29" t="s">
        <v>310</v>
      </c>
    </row>
    <row r="17" customFormat="false" ht="42.75" hidden="false" customHeight="true" outlineLevel="0" collapsed="false">
      <c r="A17" s="39" t="s">
        <v>115</v>
      </c>
      <c r="B17" s="39" t="s">
        <v>282</v>
      </c>
      <c r="C17" s="39" t="s">
        <v>311</v>
      </c>
      <c r="D17" s="29" t="s">
        <v>114</v>
      </c>
      <c r="E17" s="40" t="n">
        <v>81.59</v>
      </c>
      <c r="F17" s="39" t="s">
        <v>110</v>
      </c>
      <c r="G17" s="39" t="s">
        <v>78</v>
      </c>
      <c r="H17" s="29" t="s">
        <v>285</v>
      </c>
      <c r="I17" s="29" t="s">
        <v>312</v>
      </c>
      <c r="J17" s="29" t="s">
        <v>287</v>
      </c>
      <c r="K17" s="29" t="s">
        <v>313</v>
      </c>
    </row>
    <row r="18" customFormat="false" ht="42.75" hidden="false" customHeight="true" outlineLevel="0" collapsed="false">
      <c r="A18" s="39" t="s">
        <v>83</v>
      </c>
      <c r="B18" s="39" t="s">
        <v>282</v>
      </c>
      <c r="C18" s="39" t="s">
        <v>314</v>
      </c>
      <c r="D18" s="29" t="s">
        <v>82</v>
      </c>
      <c r="E18" s="40" t="n">
        <v>58744</v>
      </c>
      <c r="F18" s="39" t="s">
        <v>67</v>
      </c>
      <c r="G18" s="39" t="s">
        <v>78</v>
      </c>
      <c r="H18" s="29" t="s">
        <v>285</v>
      </c>
      <c r="I18" s="29" t="s">
        <v>307</v>
      </c>
      <c r="J18" s="29" t="s">
        <v>287</v>
      </c>
      <c r="K18" s="29" t="s">
        <v>315</v>
      </c>
    </row>
    <row r="19" customFormat="false" ht="42.75" hidden="false" customHeight="true" outlineLevel="0" collapsed="false">
      <c r="A19" s="39" t="s">
        <v>85</v>
      </c>
      <c r="B19" s="39" t="s">
        <v>282</v>
      </c>
      <c r="C19" s="39" t="s">
        <v>316</v>
      </c>
      <c r="D19" s="29" t="s">
        <v>84</v>
      </c>
      <c r="E19" s="40" t="n">
        <v>176400</v>
      </c>
      <c r="F19" s="39" t="s">
        <v>67</v>
      </c>
      <c r="G19" s="39" t="s">
        <v>78</v>
      </c>
      <c r="H19" s="29" t="s">
        <v>285</v>
      </c>
      <c r="I19" s="29" t="s">
        <v>307</v>
      </c>
      <c r="J19" s="29" t="s">
        <v>287</v>
      </c>
      <c r="K19" s="29" t="s">
        <v>317</v>
      </c>
    </row>
    <row r="20" customFormat="false" ht="42.75" hidden="false" customHeight="true" outlineLevel="0" collapsed="false">
      <c r="A20" s="39" t="s">
        <v>87</v>
      </c>
      <c r="B20" s="39" t="s">
        <v>282</v>
      </c>
      <c r="C20" s="39" t="s">
        <v>318</v>
      </c>
      <c r="D20" s="29" t="s">
        <v>84</v>
      </c>
      <c r="E20" s="40" t="n">
        <v>121346</v>
      </c>
      <c r="F20" s="39" t="s">
        <v>67</v>
      </c>
      <c r="G20" s="39" t="s">
        <v>86</v>
      </c>
      <c r="H20" s="29" t="s">
        <v>285</v>
      </c>
      <c r="I20" s="29" t="s">
        <v>307</v>
      </c>
      <c r="J20" s="29" t="s">
        <v>287</v>
      </c>
      <c r="K20" s="29" t="s">
        <v>317</v>
      </c>
    </row>
    <row r="21" customFormat="false" ht="42.75" hidden="false" customHeight="true" outlineLevel="0" collapsed="false">
      <c r="A21" s="39" t="s">
        <v>89</v>
      </c>
      <c r="B21" s="39" t="s">
        <v>282</v>
      </c>
      <c r="C21" s="39" t="s">
        <v>319</v>
      </c>
      <c r="D21" s="29" t="s">
        <v>88</v>
      </c>
      <c r="E21" s="40" t="n">
        <v>198759</v>
      </c>
      <c r="F21" s="39" t="s">
        <v>67</v>
      </c>
      <c r="G21" s="39" t="s">
        <v>31</v>
      </c>
      <c r="H21" s="29" t="s">
        <v>285</v>
      </c>
      <c r="I21" s="29" t="s">
        <v>320</v>
      </c>
      <c r="J21" s="29" t="s">
        <v>287</v>
      </c>
      <c r="K21" s="29" t="s">
        <v>321</v>
      </c>
    </row>
    <row r="22" customFormat="false" ht="42.75" hidden="false" customHeight="true" outlineLevel="0" collapsed="false">
      <c r="A22" s="39" t="s">
        <v>91</v>
      </c>
      <c r="B22" s="39" t="s">
        <v>282</v>
      </c>
      <c r="C22" s="39" t="s">
        <v>322</v>
      </c>
      <c r="D22" s="29" t="s">
        <v>90</v>
      </c>
      <c r="E22" s="40" t="n">
        <v>102469</v>
      </c>
      <c r="F22" s="39" t="s">
        <v>67</v>
      </c>
      <c r="G22" s="39" t="s">
        <v>31</v>
      </c>
      <c r="H22" s="29" t="s">
        <v>285</v>
      </c>
      <c r="I22" s="29" t="s">
        <v>320</v>
      </c>
      <c r="J22" s="29" t="s">
        <v>287</v>
      </c>
      <c r="K22" s="29" t="s">
        <v>323</v>
      </c>
    </row>
    <row r="23" customFormat="false" ht="42.75" hidden="false" customHeight="true" outlineLevel="0" collapsed="false">
      <c r="A23" s="39" t="s">
        <v>93</v>
      </c>
      <c r="B23" s="39" t="s">
        <v>282</v>
      </c>
      <c r="C23" s="39" t="s">
        <v>324</v>
      </c>
      <c r="D23" s="29" t="s">
        <v>92</v>
      </c>
      <c r="E23" s="40" t="n">
        <v>2207</v>
      </c>
      <c r="F23" s="39" t="s">
        <v>67</v>
      </c>
      <c r="G23" s="39" t="s">
        <v>31</v>
      </c>
      <c r="H23" s="29" t="s">
        <v>285</v>
      </c>
      <c r="I23" s="29" t="s">
        <v>320</v>
      </c>
      <c r="J23" s="29" t="s">
        <v>287</v>
      </c>
      <c r="K23" s="29" t="s">
        <v>325</v>
      </c>
    </row>
    <row r="24" customFormat="false" ht="42.75" hidden="false" customHeight="true" outlineLevel="0" collapsed="false">
      <c r="A24" s="39" t="s">
        <v>95</v>
      </c>
      <c r="B24" s="39" t="s">
        <v>282</v>
      </c>
      <c r="C24" s="39" t="s">
        <v>326</v>
      </c>
      <c r="D24" s="29" t="s">
        <v>94</v>
      </c>
      <c r="E24" s="40" t="n">
        <v>-19193</v>
      </c>
      <c r="F24" s="39" t="s">
        <v>67</v>
      </c>
      <c r="G24" s="39" t="s">
        <v>31</v>
      </c>
      <c r="H24" s="29" t="s">
        <v>285</v>
      </c>
      <c r="I24" s="29" t="s">
        <v>320</v>
      </c>
      <c r="J24" s="29" t="s">
        <v>287</v>
      </c>
      <c r="K24" s="29" t="s">
        <v>327</v>
      </c>
    </row>
    <row r="25" customFormat="false" ht="42.75" hidden="false" customHeight="true" outlineLevel="0" collapsed="false">
      <c r="A25" s="39" t="s">
        <v>99</v>
      </c>
      <c r="B25" s="39" t="s">
        <v>282</v>
      </c>
      <c r="C25" s="39" t="s">
        <v>328</v>
      </c>
      <c r="D25" s="29" t="s">
        <v>96</v>
      </c>
      <c r="E25" s="40" t="n">
        <v>2187177748</v>
      </c>
      <c r="F25" s="39" t="s">
        <v>97</v>
      </c>
      <c r="G25" s="39" t="s">
        <v>98</v>
      </c>
      <c r="H25" s="29" t="s">
        <v>285</v>
      </c>
      <c r="I25" s="29" t="s">
        <v>329</v>
      </c>
      <c r="J25" s="29" t="s">
        <v>287</v>
      </c>
      <c r="K25" s="29" t="s">
        <v>330</v>
      </c>
    </row>
    <row r="26" customFormat="false" ht="42.75" hidden="false" customHeight="true" outlineLevel="0" collapsed="false">
      <c r="A26" s="39" t="s">
        <v>101</v>
      </c>
      <c r="B26" s="39" t="s">
        <v>282</v>
      </c>
      <c r="C26" s="39" t="s">
        <v>331</v>
      </c>
      <c r="D26" s="29" t="s">
        <v>100</v>
      </c>
      <c r="E26" s="40" t="n">
        <v>342377716</v>
      </c>
      <c r="F26" s="39" t="s">
        <v>97</v>
      </c>
      <c r="G26" s="39" t="s">
        <v>98</v>
      </c>
      <c r="H26" s="29" t="s">
        <v>285</v>
      </c>
      <c r="I26" s="29" t="s">
        <v>329</v>
      </c>
      <c r="J26" s="29" t="s">
        <v>287</v>
      </c>
      <c r="K26" s="29" t="s">
        <v>330</v>
      </c>
    </row>
    <row r="27" customFormat="false" ht="42.75" hidden="false" customHeight="true" outlineLevel="0" collapsed="false">
      <c r="A27" s="39" t="s">
        <v>104</v>
      </c>
      <c r="B27" s="39" t="s">
        <v>282</v>
      </c>
      <c r="C27" s="39" t="s">
        <v>332</v>
      </c>
      <c r="D27" s="29" t="s">
        <v>102</v>
      </c>
      <c r="E27" s="40" t="n">
        <v>30</v>
      </c>
      <c r="F27" s="39" t="s">
        <v>125</v>
      </c>
      <c r="G27" s="39" t="s">
        <v>31</v>
      </c>
      <c r="H27" s="29" t="s">
        <v>285</v>
      </c>
      <c r="I27" s="29" t="s">
        <v>333</v>
      </c>
      <c r="J27" s="29" t="s">
        <v>287</v>
      </c>
      <c r="K27" s="29" t="s">
        <v>334</v>
      </c>
    </row>
    <row r="28" customFormat="false" ht="42.75" hidden="false" customHeight="true" outlineLevel="0" collapsed="false">
      <c r="A28" s="39" t="s">
        <v>106</v>
      </c>
      <c r="B28" s="39" t="s">
        <v>282</v>
      </c>
      <c r="C28" s="39" t="s">
        <v>335</v>
      </c>
      <c r="D28" s="29" t="s">
        <v>105</v>
      </c>
      <c r="E28" s="40" t="n">
        <v>13</v>
      </c>
      <c r="F28" s="39" t="s">
        <v>125</v>
      </c>
      <c r="G28" s="39" t="s">
        <v>32</v>
      </c>
      <c r="H28" s="29" t="s">
        <v>285</v>
      </c>
      <c r="I28" s="29" t="s">
        <v>312</v>
      </c>
      <c r="J28" s="29" t="s">
        <v>287</v>
      </c>
      <c r="K28" s="29" t="s">
        <v>336</v>
      </c>
    </row>
    <row r="29" customFormat="false" ht="42.75" hidden="false" customHeight="true" outlineLevel="0" collapsed="false">
      <c r="A29" s="39" t="s">
        <v>108</v>
      </c>
      <c r="B29" s="39" t="s">
        <v>282</v>
      </c>
      <c r="C29" s="39" t="s">
        <v>337</v>
      </c>
      <c r="D29" s="29" t="s">
        <v>107</v>
      </c>
      <c r="E29" s="40" t="n">
        <v>16</v>
      </c>
      <c r="F29" s="39" t="s">
        <v>125</v>
      </c>
      <c r="G29" s="39" t="s">
        <v>32</v>
      </c>
      <c r="H29" s="29" t="s">
        <v>285</v>
      </c>
      <c r="I29" s="29" t="s">
        <v>312</v>
      </c>
      <c r="J29" s="29" t="s">
        <v>287</v>
      </c>
      <c r="K29" s="29" t="s">
        <v>336</v>
      </c>
    </row>
    <row r="30" customFormat="false" ht="42.75" hidden="false" customHeight="true" outlineLevel="0" collapsed="false">
      <c r="A30" s="39" t="s">
        <v>338</v>
      </c>
      <c r="B30" s="39" t="s">
        <v>282</v>
      </c>
      <c r="C30" s="39" t="s">
        <v>339</v>
      </c>
      <c r="D30" s="29" t="s">
        <v>340</v>
      </c>
      <c r="E30" s="40" t="n">
        <v>41</v>
      </c>
      <c r="F30" s="39" t="s">
        <v>125</v>
      </c>
      <c r="G30" s="39" t="s">
        <v>31</v>
      </c>
      <c r="H30" s="29" t="s">
        <v>285</v>
      </c>
      <c r="I30" s="29" t="s">
        <v>333</v>
      </c>
      <c r="J30" s="29" t="s">
        <v>287</v>
      </c>
      <c r="K30" s="29" t="s">
        <v>341</v>
      </c>
    </row>
    <row r="31" customFormat="false" ht="42.75" hidden="false" customHeight="true" outlineLevel="0" collapsed="false">
      <c r="A31" s="39" t="s">
        <v>342</v>
      </c>
      <c r="B31" s="39" t="s">
        <v>282</v>
      </c>
      <c r="C31" s="39" t="s">
        <v>343</v>
      </c>
      <c r="D31" s="29" t="s">
        <v>344</v>
      </c>
      <c r="E31" s="40" t="n">
        <v>3.58</v>
      </c>
      <c r="F31" s="39" t="s">
        <v>345</v>
      </c>
      <c r="G31" s="39" t="s">
        <v>346</v>
      </c>
      <c r="H31" s="29" t="s">
        <v>285</v>
      </c>
      <c r="I31" s="29" t="s">
        <v>333</v>
      </c>
      <c r="J31" s="29" t="s">
        <v>287</v>
      </c>
      <c r="K31" s="29" t="s">
        <v>347</v>
      </c>
    </row>
    <row r="32" customFormat="false" ht="42.75" hidden="false" customHeight="true" outlineLevel="0" collapsed="false">
      <c r="A32" s="39" t="s">
        <v>348</v>
      </c>
      <c r="B32" s="39" t="s">
        <v>282</v>
      </c>
      <c r="C32" s="39" t="s">
        <v>349</v>
      </c>
      <c r="D32" s="29" t="s">
        <v>350</v>
      </c>
      <c r="E32" s="39" t="s">
        <v>351</v>
      </c>
      <c r="F32" s="39" t="s">
        <v>352</v>
      </c>
      <c r="G32" s="39" t="s">
        <v>31</v>
      </c>
      <c r="H32" s="29" t="s">
        <v>285</v>
      </c>
      <c r="I32" s="29" t="s">
        <v>353</v>
      </c>
      <c r="J32" s="29" t="s">
        <v>287</v>
      </c>
      <c r="K32" s="29" t="s">
        <v>354</v>
      </c>
    </row>
    <row r="33" customFormat="false" ht="42.75" hidden="false" customHeight="true" outlineLevel="0" collapsed="false">
      <c r="A33" s="39" t="s">
        <v>355</v>
      </c>
      <c r="B33" s="39" t="s">
        <v>282</v>
      </c>
      <c r="C33" s="39" t="s">
        <v>356</v>
      </c>
      <c r="D33" s="29" t="s">
        <v>357</v>
      </c>
      <c r="E33" s="39" t="s">
        <v>358</v>
      </c>
      <c r="F33" s="39" t="s">
        <v>352</v>
      </c>
      <c r="G33" s="39" t="s">
        <v>31</v>
      </c>
      <c r="H33" s="29" t="s">
        <v>285</v>
      </c>
      <c r="I33" s="29" t="s">
        <v>359</v>
      </c>
      <c r="J33" s="29" t="s">
        <v>287</v>
      </c>
      <c r="K33" s="29" t="s">
        <v>360</v>
      </c>
    </row>
    <row r="34" customFormat="false" ht="42.75" hidden="false" customHeight="true" outlineLevel="0" collapsed="false">
      <c r="A34" s="39" t="s">
        <v>361</v>
      </c>
      <c r="B34" s="39" t="s">
        <v>282</v>
      </c>
      <c r="C34" s="39" t="s">
        <v>362</v>
      </c>
      <c r="D34" s="29" t="s">
        <v>363</v>
      </c>
      <c r="E34" s="40" t="n">
        <v>70</v>
      </c>
      <c r="F34" s="39" t="s">
        <v>125</v>
      </c>
      <c r="G34" s="39" t="s">
        <v>32</v>
      </c>
      <c r="H34" s="29" t="s">
        <v>285</v>
      </c>
      <c r="I34" s="29" t="s">
        <v>359</v>
      </c>
      <c r="J34" s="29" t="s">
        <v>287</v>
      </c>
      <c r="K34" s="29" t="s">
        <v>364</v>
      </c>
    </row>
    <row r="35" customFormat="false" ht="42.75" hidden="false" customHeight="true" outlineLevel="0" collapsed="false">
      <c r="A35" s="39" t="s">
        <v>365</v>
      </c>
      <c r="B35" s="39" t="s">
        <v>282</v>
      </c>
      <c r="C35" s="39" t="s">
        <v>366</v>
      </c>
      <c r="D35" s="29" t="s">
        <v>367</v>
      </c>
      <c r="E35" s="40" t="n">
        <v>30</v>
      </c>
      <c r="F35" s="39" t="s">
        <v>97</v>
      </c>
      <c r="G35" s="39" t="s">
        <v>31</v>
      </c>
      <c r="H35" s="29" t="s">
        <v>285</v>
      </c>
      <c r="I35" s="29" t="s">
        <v>368</v>
      </c>
      <c r="J35" s="29" t="s">
        <v>287</v>
      </c>
      <c r="K35" s="29" t="s">
        <v>369</v>
      </c>
    </row>
    <row r="36" customFormat="false" ht="42.75" hidden="false" customHeight="true" outlineLevel="0" collapsed="false">
      <c r="A36" s="39" t="s">
        <v>111</v>
      </c>
      <c r="B36" s="39" t="s">
        <v>282</v>
      </c>
      <c r="C36" s="39" t="s">
        <v>370</v>
      </c>
      <c r="D36" s="29" t="s">
        <v>109</v>
      </c>
      <c r="E36" s="40" t="n">
        <v>115</v>
      </c>
      <c r="F36" s="39" t="s">
        <v>110</v>
      </c>
      <c r="G36" s="39" t="s">
        <v>32</v>
      </c>
      <c r="H36" s="29" t="s">
        <v>285</v>
      </c>
      <c r="I36" s="29" t="s">
        <v>312</v>
      </c>
      <c r="J36" s="29" t="s">
        <v>287</v>
      </c>
      <c r="K36" s="29" t="s">
        <v>371</v>
      </c>
    </row>
    <row r="37" customFormat="false" ht="42.75" hidden="false" customHeight="true" outlineLevel="0" collapsed="false">
      <c r="A37" s="39" t="s">
        <v>113</v>
      </c>
      <c r="B37" s="39" t="s">
        <v>282</v>
      </c>
      <c r="C37" s="39" t="s">
        <v>372</v>
      </c>
      <c r="D37" s="29" t="s">
        <v>112</v>
      </c>
      <c r="E37" s="40" t="n">
        <v>135</v>
      </c>
      <c r="F37" s="39" t="s">
        <v>110</v>
      </c>
      <c r="G37" s="39" t="s">
        <v>32</v>
      </c>
      <c r="H37" s="29" t="s">
        <v>285</v>
      </c>
      <c r="I37" s="29" t="s">
        <v>312</v>
      </c>
      <c r="J37" s="29" t="s">
        <v>287</v>
      </c>
      <c r="K37" s="29" t="s">
        <v>371</v>
      </c>
    </row>
    <row r="38" customFormat="false" ht="55.5" hidden="false" customHeight="true" outlineLevel="0" collapsed="false">
      <c r="A38" s="39" t="s">
        <v>373</v>
      </c>
      <c r="B38" s="39" t="s">
        <v>282</v>
      </c>
      <c r="C38" s="39" t="s">
        <v>374</v>
      </c>
      <c r="D38" s="29" t="s">
        <v>375</v>
      </c>
      <c r="E38" s="39" t="s">
        <v>376</v>
      </c>
      <c r="F38" s="39" t="s">
        <v>352</v>
      </c>
      <c r="G38" s="39" t="s">
        <v>31</v>
      </c>
      <c r="H38" s="29" t="s">
        <v>285</v>
      </c>
      <c r="I38" s="29" t="s">
        <v>377</v>
      </c>
      <c r="J38" s="29" t="s">
        <v>287</v>
      </c>
      <c r="K38" s="29" t="s">
        <v>378</v>
      </c>
    </row>
    <row r="39" customFormat="false" ht="69" hidden="false" customHeight="true" outlineLevel="0" collapsed="false">
      <c r="A39" s="39" t="s">
        <v>379</v>
      </c>
      <c r="B39" s="39" t="s">
        <v>282</v>
      </c>
      <c r="C39" s="39" t="s">
        <v>380</v>
      </c>
      <c r="D39" s="29" t="s">
        <v>381</v>
      </c>
      <c r="E39" s="39" t="s">
        <v>382</v>
      </c>
      <c r="F39" s="39" t="s">
        <v>352</v>
      </c>
      <c r="G39" s="39" t="s">
        <v>31</v>
      </c>
      <c r="H39" s="29" t="s">
        <v>285</v>
      </c>
      <c r="I39" s="29" t="s">
        <v>383</v>
      </c>
      <c r="J39" s="29" t="s">
        <v>287</v>
      </c>
      <c r="K39" s="29" t="s">
        <v>384</v>
      </c>
    </row>
    <row r="40" customFormat="false" ht="94.5" hidden="false" customHeight="true" outlineLevel="0" collapsed="false">
      <c r="A40" s="39" t="s">
        <v>385</v>
      </c>
      <c r="B40" s="39" t="s">
        <v>282</v>
      </c>
      <c r="C40" s="39" t="s">
        <v>386</v>
      </c>
      <c r="D40" s="29" t="s">
        <v>387</v>
      </c>
      <c r="E40" s="39" t="s">
        <v>388</v>
      </c>
      <c r="F40" s="39" t="s">
        <v>352</v>
      </c>
      <c r="G40" s="39" t="s">
        <v>31</v>
      </c>
      <c r="H40" s="29" t="s">
        <v>285</v>
      </c>
      <c r="I40" s="29" t="s">
        <v>389</v>
      </c>
      <c r="J40" s="29" t="s">
        <v>287</v>
      </c>
      <c r="K40" s="29" t="s">
        <v>390</v>
      </c>
    </row>
    <row r="41" customFormat="false" ht="42.75" hidden="false" customHeight="true" outlineLevel="0" collapsed="false">
      <c r="A41" s="39" t="s">
        <v>174</v>
      </c>
      <c r="B41" s="39" t="s">
        <v>391</v>
      </c>
      <c r="C41" s="39" t="s">
        <v>392</v>
      </c>
      <c r="D41" s="29" t="s">
        <v>173</v>
      </c>
      <c r="E41" s="40" t="n">
        <v>709.33</v>
      </c>
      <c r="F41" s="39" t="s">
        <v>393</v>
      </c>
      <c r="G41" s="39" t="s">
        <v>394</v>
      </c>
      <c r="H41" s="29" t="s">
        <v>395</v>
      </c>
      <c r="I41" s="29" t="s">
        <v>396</v>
      </c>
      <c r="J41" s="29" t="s">
        <v>397</v>
      </c>
      <c r="K41" s="29" t="s">
        <v>398</v>
      </c>
    </row>
    <row r="42" customFormat="false" ht="42.75" hidden="false" customHeight="true" outlineLevel="0" collapsed="false">
      <c r="A42" s="39" t="s">
        <v>171</v>
      </c>
      <c r="B42" s="39" t="s">
        <v>391</v>
      </c>
      <c r="C42" s="39" t="s">
        <v>399</v>
      </c>
      <c r="D42" s="29" t="s">
        <v>170</v>
      </c>
      <c r="E42" s="40" t="n">
        <v>5.1</v>
      </c>
      <c r="F42" s="39" t="s">
        <v>125</v>
      </c>
      <c r="G42" s="39" t="s">
        <v>400</v>
      </c>
      <c r="H42" s="29" t="s">
        <v>401</v>
      </c>
      <c r="I42" s="29" t="s">
        <v>396</v>
      </c>
      <c r="J42" s="29" t="s">
        <v>402</v>
      </c>
      <c r="K42" s="29" t="s">
        <v>403</v>
      </c>
    </row>
    <row r="43" customFormat="false" ht="42.75" hidden="false" customHeight="true" outlineLevel="0" collapsed="false">
      <c r="A43" s="39" t="s">
        <v>136</v>
      </c>
      <c r="B43" s="39" t="s">
        <v>404</v>
      </c>
      <c r="C43" s="39" t="s">
        <v>405</v>
      </c>
      <c r="D43" s="29" t="s">
        <v>190</v>
      </c>
      <c r="E43" s="40" t="n">
        <v>18</v>
      </c>
      <c r="F43" s="39" t="s">
        <v>125</v>
      </c>
      <c r="G43" s="39" t="s">
        <v>32</v>
      </c>
      <c r="H43" s="29"/>
      <c r="I43" s="29"/>
      <c r="J43" s="29"/>
      <c r="K43" s="29" t="s">
        <v>191</v>
      </c>
    </row>
    <row r="44" customFormat="false" ht="30" hidden="false" customHeight="true" outlineLevel="0" collapsed="false">
      <c r="A44" s="39" t="s">
        <v>137</v>
      </c>
      <c r="B44" s="39" t="s">
        <v>404</v>
      </c>
      <c r="C44" s="39" t="s">
        <v>406</v>
      </c>
      <c r="D44" s="29" t="s">
        <v>192</v>
      </c>
      <c r="E44" s="40" t="n">
        <v>15</v>
      </c>
      <c r="F44" s="39" t="s">
        <v>125</v>
      </c>
      <c r="G44" s="39" t="s">
        <v>33</v>
      </c>
      <c r="H44" s="29"/>
      <c r="I44" s="29"/>
      <c r="J44" s="29"/>
      <c r="K44" s="29" t="s">
        <v>193</v>
      </c>
    </row>
    <row r="45" customFormat="false" ht="30" hidden="false" customHeight="true" outlineLevel="0" collapsed="false">
      <c r="A45" s="39" t="s">
        <v>138</v>
      </c>
      <c r="B45" s="39" t="s">
        <v>404</v>
      </c>
      <c r="C45" s="39" t="s">
        <v>407</v>
      </c>
      <c r="D45" s="29" t="s">
        <v>194</v>
      </c>
      <c r="E45" s="40" t="n">
        <v>12</v>
      </c>
      <c r="F45" s="39" t="s">
        <v>125</v>
      </c>
      <c r="G45" s="39" t="s">
        <v>34</v>
      </c>
      <c r="H45" s="29"/>
      <c r="I45" s="29"/>
      <c r="J45" s="29"/>
      <c r="K45" s="29" t="s">
        <v>195</v>
      </c>
    </row>
    <row r="46" customFormat="false" ht="16.5" hidden="false" customHeight="true" outlineLevel="0" collapsed="false">
      <c r="A46" s="39" t="s">
        <v>139</v>
      </c>
      <c r="B46" s="39" t="s">
        <v>404</v>
      </c>
      <c r="C46" s="39" t="s">
        <v>408</v>
      </c>
      <c r="D46" s="29" t="s">
        <v>196</v>
      </c>
      <c r="E46" s="40" t="n">
        <v>10</v>
      </c>
      <c r="F46" s="39" t="s">
        <v>125</v>
      </c>
      <c r="G46" s="39" t="s">
        <v>35</v>
      </c>
      <c r="H46" s="29"/>
      <c r="I46" s="29"/>
      <c r="J46" s="29"/>
      <c r="K46" s="29" t="s">
        <v>197</v>
      </c>
    </row>
    <row r="47" customFormat="false" ht="30" hidden="false" customHeight="true" outlineLevel="0" collapsed="false">
      <c r="A47" s="39" t="s">
        <v>140</v>
      </c>
      <c r="B47" s="39" t="s">
        <v>404</v>
      </c>
      <c r="C47" s="39" t="s">
        <v>409</v>
      </c>
      <c r="D47" s="29" t="s">
        <v>198</v>
      </c>
      <c r="E47" s="40" t="n">
        <v>8</v>
      </c>
      <c r="F47" s="39" t="s">
        <v>125</v>
      </c>
      <c r="G47" s="39" t="s">
        <v>36</v>
      </c>
      <c r="H47" s="29"/>
      <c r="I47" s="29"/>
      <c r="J47" s="29"/>
      <c r="K47" s="29" t="s">
        <v>199</v>
      </c>
    </row>
    <row r="48" customFormat="false" ht="55.5" hidden="false" customHeight="true" outlineLevel="0" collapsed="false">
      <c r="A48" s="39" t="s">
        <v>141</v>
      </c>
      <c r="B48" s="39" t="s">
        <v>404</v>
      </c>
      <c r="C48" s="39" t="s">
        <v>410</v>
      </c>
      <c r="D48" s="29" t="s">
        <v>200</v>
      </c>
      <c r="E48" s="40" t="n">
        <v>38</v>
      </c>
      <c r="F48" s="39" t="s">
        <v>125</v>
      </c>
      <c r="G48" s="39" t="s">
        <v>32</v>
      </c>
      <c r="H48" s="29"/>
      <c r="I48" s="29"/>
      <c r="J48" s="29"/>
      <c r="K48" s="29" t="s">
        <v>201</v>
      </c>
    </row>
    <row r="49" customFormat="false" ht="55.5" hidden="false" customHeight="true" outlineLevel="0" collapsed="false">
      <c r="A49" s="39" t="s">
        <v>142</v>
      </c>
      <c r="B49" s="39" t="s">
        <v>404</v>
      </c>
      <c r="C49" s="39" t="s">
        <v>411</v>
      </c>
      <c r="D49" s="29" t="s">
        <v>202</v>
      </c>
      <c r="E49" s="40" t="n">
        <v>37</v>
      </c>
      <c r="F49" s="39" t="s">
        <v>125</v>
      </c>
      <c r="G49" s="39" t="s">
        <v>33</v>
      </c>
      <c r="H49" s="29"/>
      <c r="I49" s="29"/>
      <c r="J49" s="29"/>
      <c r="K49" s="29" t="s">
        <v>201</v>
      </c>
    </row>
    <row r="50" customFormat="false" ht="55.5" hidden="false" customHeight="true" outlineLevel="0" collapsed="false">
      <c r="A50" s="39" t="s">
        <v>143</v>
      </c>
      <c r="B50" s="39" t="s">
        <v>404</v>
      </c>
      <c r="C50" s="39" t="s">
        <v>412</v>
      </c>
      <c r="D50" s="29" t="s">
        <v>203</v>
      </c>
      <c r="E50" s="40" t="n">
        <v>36</v>
      </c>
      <c r="F50" s="39" t="s">
        <v>125</v>
      </c>
      <c r="G50" s="39" t="s">
        <v>34</v>
      </c>
      <c r="H50" s="29"/>
      <c r="I50" s="29"/>
      <c r="J50" s="29"/>
      <c r="K50" s="29" t="s">
        <v>201</v>
      </c>
    </row>
    <row r="51" customFormat="false" ht="55.5" hidden="false" customHeight="true" outlineLevel="0" collapsed="false">
      <c r="A51" s="39" t="s">
        <v>144</v>
      </c>
      <c r="B51" s="39" t="s">
        <v>404</v>
      </c>
      <c r="C51" s="39" t="s">
        <v>413</v>
      </c>
      <c r="D51" s="29" t="s">
        <v>204</v>
      </c>
      <c r="E51" s="40" t="n">
        <v>36</v>
      </c>
      <c r="F51" s="39" t="s">
        <v>125</v>
      </c>
      <c r="G51" s="39" t="s">
        <v>35</v>
      </c>
      <c r="H51" s="29"/>
      <c r="I51" s="29"/>
      <c r="J51" s="29"/>
      <c r="K51" s="29" t="s">
        <v>201</v>
      </c>
    </row>
    <row r="52" customFormat="false" ht="55.5" hidden="false" customHeight="true" outlineLevel="0" collapsed="false">
      <c r="A52" s="39" t="s">
        <v>145</v>
      </c>
      <c r="B52" s="39" t="s">
        <v>404</v>
      </c>
      <c r="C52" s="39" t="s">
        <v>414</v>
      </c>
      <c r="D52" s="29" t="s">
        <v>205</v>
      </c>
      <c r="E52" s="40" t="n">
        <v>36</v>
      </c>
      <c r="F52" s="39" t="s">
        <v>125</v>
      </c>
      <c r="G52" s="39" t="s">
        <v>36</v>
      </c>
      <c r="H52" s="29"/>
      <c r="I52" s="29"/>
      <c r="J52" s="29"/>
      <c r="K52" s="29" t="s">
        <v>201</v>
      </c>
    </row>
    <row r="53" customFormat="false" ht="30" hidden="false" customHeight="true" outlineLevel="0" collapsed="false">
      <c r="A53" s="39" t="s">
        <v>146</v>
      </c>
      <c r="B53" s="39" t="s">
        <v>404</v>
      </c>
      <c r="C53" s="39" t="s">
        <v>415</v>
      </c>
      <c r="D53" s="29" t="s">
        <v>206</v>
      </c>
      <c r="E53" s="40" t="n">
        <v>36</v>
      </c>
      <c r="F53" s="39" t="s">
        <v>125</v>
      </c>
      <c r="G53" s="39" t="s">
        <v>416</v>
      </c>
      <c r="H53" s="29"/>
      <c r="I53" s="29"/>
      <c r="J53" s="29"/>
      <c r="K53" s="29" t="s">
        <v>207</v>
      </c>
    </row>
    <row r="54" customFormat="false" ht="42.75" hidden="false" customHeight="true" outlineLevel="0" collapsed="false">
      <c r="A54" s="39" t="s">
        <v>147</v>
      </c>
      <c r="B54" s="39" t="s">
        <v>404</v>
      </c>
      <c r="C54" s="39" t="s">
        <v>417</v>
      </c>
      <c r="D54" s="29" t="s">
        <v>208</v>
      </c>
      <c r="E54" s="40" t="n">
        <v>52</v>
      </c>
      <c r="F54" s="39" t="s">
        <v>125</v>
      </c>
      <c r="G54" s="39" t="s">
        <v>32</v>
      </c>
      <c r="H54" s="29"/>
      <c r="I54" s="29"/>
      <c r="J54" s="29"/>
      <c r="K54" s="29" t="s">
        <v>209</v>
      </c>
    </row>
    <row r="55" customFormat="false" ht="30" hidden="false" customHeight="true" outlineLevel="0" collapsed="false">
      <c r="A55" s="39" t="s">
        <v>148</v>
      </c>
      <c r="B55" s="39" t="s">
        <v>404</v>
      </c>
      <c r="C55" s="39" t="s">
        <v>418</v>
      </c>
      <c r="D55" s="29" t="s">
        <v>210</v>
      </c>
      <c r="E55" s="40" t="n">
        <v>45</v>
      </c>
      <c r="F55" s="39" t="s">
        <v>125</v>
      </c>
      <c r="G55" s="39" t="s">
        <v>33</v>
      </c>
      <c r="H55" s="29"/>
      <c r="I55" s="29"/>
      <c r="J55" s="29"/>
      <c r="K55" s="29" t="s">
        <v>211</v>
      </c>
    </row>
    <row r="56" customFormat="false" ht="30" hidden="false" customHeight="true" outlineLevel="0" collapsed="false">
      <c r="A56" s="39" t="s">
        <v>149</v>
      </c>
      <c r="B56" s="39" t="s">
        <v>404</v>
      </c>
      <c r="C56" s="39" t="s">
        <v>419</v>
      </c>
      <c r="D56" s="29" t="s">
        <v>212</v>
      </c>
      <c r="E56" s="40" t="n">
        <v>38</v>
      </c>
      <c r="F56" s="39" t="s">
        <v>125</v>
      </c>
      <c r="G56" s="39" t="s">
        <v>34</v>
      </c>
      <c r="H56" s="29"/>
      <c r="I56" s="29"/>
      <c r="J56" s="29"/>
      <c r="K56" s="29" t="s">
        <v>213</v>
      </c>
    </row>
    <row r="57" customFormat="false" ht="30" hidden="false" customHeight="true" outlineLevel="0" collapsed="false">
      <c r="A57" s="39" t="s">
        <v>150</v>
      </c>
      <c r="B57" s="39" t="s">
        <v>404</v>
      </c>
      <c r="C57" s="39" t="s">
        <v>420</v>
      </c>
      <c r="D57" s="29" t="s">
        <v>214</v>
      </c>
      <c r="E57" s="40" t="n">
        <v>28</v>
      </c>
      <c r="F57" s="39" t="s">
        <v>125</v>
      </c>
      <c r="G57" s="39" t="s">
        <v>35</v>
      </c>
      <c r="H57" s="29"/>
      <c r="I57" s="29"/>
      <c r="J57" s="29"/>
      <c r="K57" s="29" t="s">
        <v>215</v>
      </c>
    </row>
    <row r="58" customFormat="false" ht="30" hidden="false" customHeight="true" outlineLevel="0" collapsed="false">
      <c r="A58" s="39" t="s">
        <v>151</v>
      </c>
      <c r="B58" s="39" t="s">
        <v>404</v>
      </c>
      <c r="C58" s="39" t="s">
        <v>421</v>
      </c>
      <c r="D58" s="29" t="s">
        <v>216</v>
      </c>
      <c r="E58" s="40" t="n">
        <v>22</v>
      </c>
      <c r="F58" s="39" t="s">
        <v>125</v>
      </c>
      <c r="G58" s="39" t="s">
        <v>36</v>
      </c>
      <c r="H58" s="29"/>
      <c r="I58" s="29"/>
      <c r="J58" s="29"/>
      <c r="K58" s="29" t="s">
        <v>217</v>
      </c>
    </row>
    <row r="59" customFormat="false" ht="55.5" hidden="false" customHeight="true" outlineLevel="0" collapsed="false">
      <c r="A59" s="39" t="s">
        <v>153</v>
      </c>
      <c r="B59" s="39" t="s">
        <v>404</v>
      </c>
      <c r="C59" s="39" t="s">
        <v>422</v>
      </c>
      <c r="D59" s="29" t="s">
        <v>218</v>
      </c>
      <c r="E59" s="40" t="n">
        <v>12</v>
      </c>
      <c r="F59" s="39" t="s">
        <v>125</v>
      </c>
      <c r="G59" s="39" t="s">
        <v>32</v>
      </c>
      <c r="H59" s="29"/>
      <c r="I59" s="29"/>
      <c r="J59" s="29"/>
      <c r="K59" s="29" t="s">
        <v>219</v>
      </c>
    </row>
    <row r="60" customFormat="false" ht="55.5" hidden="false" customHeight="true" outlineLevel="0" collapsed="false">
      <c r="A60" s="39" t="s">
        <v>154</v>
      </c>
      <c r="B60" s="39" t="s">
        <v>404</v>
      </c>
      <c r="C60" s="39" t="s">
        <v>423</v>
      </c>
      <c r="D60" s="29" t="s">
        <v>220</v>
      </c>
      <c r="E60" s="40" t="n">
        <v>14</v>
      </c>
      <c r="F60" s="39" t="s">
        <v>125</v>
      </c>
      <c r="G60" s="39" t="s">
        <v>33</v>
      </c>
      <c r="H60" s="29"/>
      <c r="I60" s="29"/>
      <c r="J60" s="29"/>
      <c r="K60" s="29" t="s">
        <v>219</v>
      </c>
    </row>
    <row r="61" customFormat="false" ht="55.5" hidden="false" customHeight="true" outlineLevel="0" collapsed="false">
      <c r="A61" s="39" t="s">
        <v>155</v>
      </c>
      <c r="B61" s="39" t="s">
        <v>404</v>
      </c>
      <c r="C61" s="39" t="s">
        <v>424</v>
      </c>
      <c r="D61" s="29" t="s">
        <v>221</v>
      </c>
      <c r="E61" s="40" t="n">
        <v>16</v>
      </c>
      <c r="F61" s="39" t="s">
        <v>125</v>
      </c>
      <c r="G61" s="39" t="s">
        <v>34</v>
      </c>
      <c r="H61" s="29"/>
      <c r="I61" s="29"/>
      <c r="J61" s="29"/>
      <c r="K61" s="29" t="s">
        <v>219</v>
      </c>
    </row>
    <row r="62" customFormat="false" ht="55.5" hidden="false" customHeight="true" outlineLevel="0" collapsed="false">
      <c r="A62" s="39" t="s">
        <v>156</v>
      </c>
      <c r="B62" s="39" t="s">
        <v>404</v>
      </c>
      <c r="C62" s="39" t="s">
        <v>425</v>
      </c>
      <c r="D62" s="29" t="s">
        <v>222</v>
      </c>
      <c r="E62" s="40" t="n">
        <v>16</v>
      </c>
      <c r="F62" s="39" t="s">
        <v>125</v>
      </c>
      <c r="G62" s="39" t="s">
        <v>35</v>
      </c>
      <c r="H62" s="29"/>
      <c r="I62" s="29"/>
      <c r="J62" s="29"/>
      <c r="K62" s="29" t="s">
        <v>219</v>
      </c>
    </row>
    <row r="63" customFormat="false" ht="55.5" hidden="false" customHeight="true" outlineLevel="0" collapsed="false">
      <c r="A63" s="39" t="s">
        <v>157</v>
      </c>
      <c r="B63" s="39" t="s">
        <v>404</v>
      </c>
      <c r="C63" s="39" t="s">
        <v>426</v>
      </c>
      <c r="D63" s="29" t="s">
        <v>223</v>
      </c>
      <c r="E63" s="40" t="n">
        <v>16</v>
      </c>
      <c r="F63" s="39" t="s">
        <v>125</v>
      </c>
      <c r="G63" s="39" t="s">
        <v>36</v>
      </c>
      <c r="H63" s="29"/>
      <c r="I63" s="29"/>
      <c r="J63" s="29"/>
      <c r="K63" s="29" t="s">
        <v>219</v>
      </c>
    </row>
    <row r="64" customFormat="false" ht="42.75" hidden="false" customHeight="true" outlineLevel="0" collapsed="false">
      <c r="A64" s="39" t="s">
        <v>162</v>
      </c>
      <c r="B64" s="39" t="s">
        <v>404</v>
      </c>
      <c r="C64" s="39" t="s">
        <v>427</v>
      </c>
      <c r="D64" s="29" t="s">
        <v>161</v>
      </c>
      <c r="E64" s="40" t="n">
        <v>15</v>
      </c>
      <c r="F64" s="39" t="s">
        <v>125</v>
      </c>
      <c r="G64" s="39" t="s">
        <v>428</v>
      </c>
      <c r="H64" s="29"/>
      <c r="I64" s="29"/>
      <c r="J64" s="29"/>
      <c r="K64" s="29" t="s">
        <v>224</v>
      </c>
    </row>
    <row r="65" customFormat="false" ht="42.75" hidden="false" customHeight="true" outlineLevel="0" collapsed="false">
      <c r="A65" s="39" t="s">
        <v>165</v>
      </c>
      <c r="B65" s="39" t="s">
        <v>404</v>
      </c>
      <c r="C65" s="39" t="s">
        <v>429</v>
      </c>
      <c r="D65" s="29" t="s">
        <v>164</v>
      </c>
      <c r="E65" s="40" t="n">
        <v>1.2</v>
      </c>
      <c r="F65" s="39" t="s">
        <v>352</v>
      </c>
      <c r="G65" s="39" t="s">
        <v>352</v>
      </c>
      <c r="H65" s="29"/>
      <c r="I65" s="29"/>
      <c r="J65" s="29"/>
      <c r="K65" s="29" t="s">
        <v>225</v>
      </c>
    </row>
    <row r="66" customFormat="false" ht="42.75" hidden="false" customHeight="true" outlineLevel="0" collapsed="false">
      <c r="A66" s="39" t="s">
        <v>167</v>
      </c>
      <c r="B66" s="39" t="s">
        <v>404</v>
      </c>
      <c r="C66" s="39" t="s">
        <v>430</v>
      </c>
      <c r="D66" s="29" t="s">
        <v>166</v>
      </c>
      <c r="E66" s="40" t="n">
        <v>5</v>
      </c>
      <c r="F66" s="39" t="s">
        <v>125</v>
      </c>
      <c r="G66" s="39" t="s">
        <v>352</v>
      </c>
      <c r="H66" s="29"/>
      <c r="I66" s="29"/>
      <c r="J66" s="29"/>
      <c r="K66" s="29" t="s">
        <v>226</v>
      </c>
    </row>
    <row r="67" customFormat="false" ht="42.75" hidden="false" customHeight="true" outlineLevel="0" collapsed="false">
      <c r="A67" s="39" t="s">
        <v>169</v>
      </c>
      <c r="B67" s="39" t="s">
        <v>404</v>
      </c>
      <c r="C67" s="39" t="s">
        <v>431</v>
      </c>
      <c r="D67" s="29" t="s">
        <v>168</v>
      </c>
      <c r="E67" s="40" t="n">
        <v>3</v>
      </c>
      <c r="F67" s="39" t="s">
        <v>125</v>
      </c>
      <c r="G67" s="39" t="s">
        <v>416</v>
      </c>
      <c r="H67" s="29"/>
      <c r="I67" s="29"/>
      <c r="J67" s="29"/>
      <c r="K67" s="29" t="s">
        <v>227</v>
      </c>
    </row>
    <row r="68" customFormat="false" ht="42.75" hidden="false" customHeight="true" outlineLevel="0" collapsed="false">
      <c r="A68" s="39" t="s">
        <v>152</v>
      </c>
      <c r="B68" s="39" t="s">
        <v>404</v>
      </c>
      <c r="C68" s="39" t="s">
        <v>432</v>
      </c>
      <c r="D68" s="29" t="s">
        <v>228</v>
      </c>
      <c r="E68" s="40" t="n">
        <v>19</v>
      </c>
      <c r="F68" s="39" t="s">
        <v>125</v>
      </c>
      <c r="G68" s="39" t="s">
        <v>416</v>
      </c>
      <c r="H68" s="29"/>
      <c r="I68" s="29"/>
      <c r="J68" s="29"/>
      <c r="K68" s="29" t="s">
        <v>229</v>
      </c>
    </row>
    <row r="69" customFormat="false" ht="42.75" hidden="false" customHeight="true" outlineLevel="0" collapsed="false">
      <c r="A69" s="39" t="s">
        <v>158</v>
      </c>
      <c r="B69" s="39" t="s">
        <v>404</v>
      </c>
      <c r="C69" s="39" t="s">
        <v>433</v>
      </c>
      <c r="D69" s="29" t="s">
        <v>230</v>
      </c>
      <c r="E69" s="40" t="n">
        <v>16</v>
      </c>
      <c r="F69" s="39" t="s">
        <v>125</v>
      </c>
      <c r="G69" s="39" t="s">
        <v>416</v>
      </c>
      <c r="H69" s="29"/>
      <c r="I69" s="29"/>
      <c r="J69" s="29"/>
      <c r="K69" s="29" t="s">
        <v>231</v>
      </c>
    </row>
    <row r="70" customFormat="false" ht="42.75" hidden="false" customHeight="true" outlineLevel="0" collapsed="false">
      <c r="A70" s="39" t="s">
        <v>434</v>
      </c>
      <c r="B70" s="39" t="s">
        <v>435</v>
      </c>
      <c r="C70" s="39" t="s">
        <v>436</v>
      </c>
      <c r="D70" s="29" t="s">
        <v>437</v>
      </c>
      <c r="E70" s="39" t="s">
        <v>438</v>
      </c>
      <c r="F70" s="39"/>
      <c r="G70" s="39"/>
      <c r="H70" s="29" t="s">
        <v>439</v>
      </c>
      <c r="I70" s="29"/>
      <c r="J70" s="29" t="s">
        <v>440</v>
      </c>
      <c r="K70" s="29" t="s">
        <v>441</v>
      </c>
    </row>
    <row r="71" customFormat="false" ht="30" hidden="false" customHeight="true" outlineLevel="0" collapsed="false">
      <c r="A71" s="39" t="s">
        <v>442</v>
      </c>
      <c r="B71" s="39" t="s">
        <v>435</v>
      </c>
      <c r="C71" s="39" t="s">
        <v>443</v>
      </c>
      <c r="D71" s="29" t="s">
        <v>444</v>
      </c>
      <c r="E71" s="39" t="s">
        <v>445</v>
      </c>
      <c r="F71" s="39"/>
      <c r="G71" s="39"/>
      <c r="H71" s="29" t="s">
        <v>439</v>
      </c>
      <c r="I71" s="29"/>
      <c r="J71" s="29" t="s">
        <v>446</v>
      </c>
      <c r="K71" s="29" t="s">
        <v>447</v>
      </c>
    </row>
    <row r="72" customFormat="false" ht="55.5" hidden="false" customHeight="true" outlineLevel="0" collapsed="false">
      <c r="A72" s="39" t="s">
        <v>448</v>
      </c>
      <c r="B72" s="39" t="s">
        <v>435</v>
      </c>
      <c r="C72" s="39" t="s">
        <v>449</v>
      </c>
      <c r="D72" s="29" t="s">
        <v>450</v>
      </c>
      <c r="E72" s="39" t="s">
        <v>451</v>
      </c>
      <c r="F72" s="39"/>
      <c r="G72" s="39"/>
      <c r="H72" s="29" t="s">
        <v>439</v>
      </c>
      <c r="I72" s="29"/>
      <c r="J72" s="29" t="s">
        <v>452</v>
      </c>
      <c r="K72" s="29" t="s">
        <v>453</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2026-10-17T02:05:12Z</dcterms:created>
  <dc:creator>openpyxl</dc:creator>
  <dc:description/>
  <dc:language>pl-PL</dc:language>
  <cp:lastModifiedBy/>
  <dcterms:modified xsi:type="dcterms:W3CDTF">2026-10-17T02:05:12Z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