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drawings/vmlDrawing1.vml" ContentType="application/vnd.openxmlformats-officedocument.vmlDrawing"/>
  <Override PartName="/xl/drawings/drawing1.xml" ContentType="application/vnd.openxmlformats-officedocument.drawing+xml"/>
  <Override PartName="/xl/drawings/vmlDrawing2.vml" ContentType="application/vnd.openxmlformats-officedocument.vmlDrawing"/>
  <Override PartName="/xl/styles.xml" ContentType="application/vnd.openxmlformats-officedocument.spreadsheetml.styl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olors3.xml" ContentType="application/vnd.ms-office.chartcolorstyle+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hart3.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3.xml" ContentType="application/vnd.ms-office.chart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3.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Podsumowanie" sheetId="1" state="visible" r:id="rId3"/>
    <sheet name="Dane historyczne" sheetId="2" state="visible" r:id="rId4"/>
    <sheet name="Założenia" sheetId="3" state="visible" r:id="rId5"/>
    <sheet name="DCF" sheetId="4" state="visible" r:id="rId6"/>
    <sheet name="Wrażliwość" sheetId="5" state="visible" r:id="rId7"/>
    <sheet name="Ledger" sheetId="6" state="visible" r:id="rId8"/>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ledger</author>
  </authors>
  <commentList>
    <comment ref="B5" authorId="0">
      <text>
        <r>
          <rPr>
            <sz val="10"/>
            <rFont val="Arial"/>
            <family val="2"/>
            <charset val="238"/>
          </rPr>
          <t xml:space="preserve">F-03 - Alphabet Inc. - raport roczny 10-K za 2025 r., strona 49
Cytat: "Revenues $ 307,394 $ 350,018 $ 402,836"</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2</xdr:row>
                <xdr:rowOff>20</xdr:rowOff>
              </xdr:to>
            </anchor>
          </commentPr>
        </mc:Choice>
        <mc:Fallback/>
      </mc:AlternateContent>
    </comment>
    <comment ref="B6" authorId="0">
      <text>
        <r>
          <rPr>
            <sz val="10"/>
            <rFont val="Arial"/>
            <family val="2"/>
            <charset val="238"/>
          </rPr>
          <t xml:space="preserve">F-06 - Alphabet Inc. - raport roczny 10-K za 2025 r., strona 49
Cytat: "Income from operations 84,293 112,390 129,039"</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3</xdr:row>
                <xdr:rowOff>1</xdr:rowOff>
              </xdr:to>
            </anchor>
          </commentPr>
        </mc:Choice>
        <mc:Fallback/>
      </mc:AlternateContent>
    </comment>
    <comment ref="B11" authorId="0">
      <text>
        <r>
          <rPr>
            <sz val="10"/>
            <rFont val="Arial"/>
            <family val="2"/>
            <charset val="238"/>
          </rPr>
          <t xml:space="preserve">F-07 - Alphabet Inc. - raport roczny 10-K za 2025 r., strona 49
Cytat: "Net income $ 73,795 $ 100,118 $ 132,170"</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2</xdr:row>
                <xdr:rowOff>20</xdr:rowOff>
              </xdr:to>
            </anchor>
          </commentPr>
        </mc:Choice>
        <mc:Fallback/>
      </mc:AlternateContent>
    </comment>
    <comment ref="B12" authorId="0">
      <text>
        <r>
          <rPr>
            <sz val="10"/>
            <rFont val="Arial"/>
            <family val="2"/>
            <charset val="238"/>
          </rPr>
          <t xml:space="preserve">F-08 - Alphabet Inc. - raport roczny 10-K za 2025 r., strona 52
Cytat: "Depreciation of property and equipment 11,946 15,311 21,136"</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3</xdr:row>
                <xdr:rowOff>5</xdr:rowOff>
              </xdr:to>
            </anchor>
          </commentPr>
        </mc:Choice>
        <mc:Fallback/>
      </mc:AlternateContent>
    </comment>
    <comment ref="B13" authorId="0">
      <text>
        <r>
          <rPr>
            <sz val="10"/>
            <rFont val="Arial"/>
            <family val="2"/>
            <charset val="238"/>
          </rPr>
          <t xml:space="preserve">F-09 - Alphabet Inc. - raport roczny 10-K za 2025 r., strona 52
Cytat: "Purchases of property and equipment (32,251) (52,535) (91,447)"</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3</xdr:row>
                <xdr:rowOff>6</xdr:rowOff>
              </xdr:to>
            </anchor>
          </commentPr>
        </mc:Choice>
        <mc:Fallback/>
      </mc:AlternateContent>
    </comment>
    <comment ref="B14" authorId="0">
      <text>
        <r>
          <rPr>
            <sz val="10"/>
            <rFont val="Arial"/>
            <family val="2"/>
            <charset val="238"/>
          </rPr>
          <t xml:space="preserve">F-10 - Alphabet Inc. - raport roczny 10-K za 2025 r., strona 49
Cytat: "Income before income taxes 85,717 119,815 158,826"</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3</xdr:row>
                <xdr:rowOff>2</xdr:rowOff>
              </xdr:to>
            </anchor>
          </commentPr>
        </mc:Choice>
        <mc:Fallback/>
      </mc:AlternateContent>
    </comment>
    <comment ref="B15" authorId="0">
      <text>
        <r>
          <rPr>
            <sz val="10"/>
            <rFont val="Arial"/>
            <family val="2"/>
            <charset val="238"/>
          </rPr>
          <t xml:space="preserve">F-11 - Alphabet Inc. - raport roczny 10-K za 2025 r., strona 49
Cytat: "Provision for income taxes 11,922 19,697 26,656"</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3</xdr:row>
                <xdr:rowOff>2</xdr:rowOff>
              </xdr:to>
            </anchor>
          </commentPr>
        </mc:Choice>
        <mc:Fallback/>
      </mc:AlternateContent>
    </comment>
    <comment ref="B16" authorId="0">
      <text>
        <r>
          <rPr>
            <sz val="10"/>
            <rFont val="Arial"/>
            <family val="2"/>
            <charset val="238"/>
          </rPr>
          <t xml:space="preserve">F-12 - Alphabet Inc. - raport roczny 10-K za 2025 r., strona 48
Cytat: "Cash and cash equivalents $ 23,466 $ 30,708"</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3</xdr:row>
                <xdr:rowOff>1</xdr:rowOff>
              </xdr:to>
            </anchor>
          </commentPr>
        </mc:Choice>
        <mc:Fallback/>
      </mc:AlternateContent>
    </comment>
    <comment ref="B17" authorId="0">
      <text>
        <r>
          <rPr>
            <sz val="10"/>
            <rFont val="Arial"/>
            <family val="2"/>
            <charset val="238"/>
          </rPr>
          <t xml:space="preserve">F-13 - Alphabet Inc. - raport roczny 10-K za 2025 r., strona 48
Cytat: "Marketable securities 72,191 96,135"</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2</xdr:row>
                <xdr:rowOff>19</xdr:rowOff>
              </xdr:to>
            </anchor>
          </commentPr>
        </mc:Choice>
        <mc:Fallback/>
      </mc:AlternateContent>
    </comment>
    <comment ref="B18" authorId="0">
      <text>
        <r>
          <rPr>
            <sz val="10"/>
            <rFont val="Arial"/>
            <family val="2"/>
            <charset val="238"/>
          </rPr>
          <t xml:space="preserve">F-14 - Alphabet Inc. - raport roczny 10-K za 2025 r., strona 48
Cytat: "Long-term debt 10,883 46,547"</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2</xdr:row>
                <xdr:rowOff>17</xdr:rowOff>
              </xdr:to>
            </anchor>
          </commentPr>
        </mc:Choice>
        <mc:Fallback/>
      </mc:AlternateContent>
    </comment>
    <comment ref="B19" authorId="0">
      <text>
        <r>
          <rPr>
            <sz val="10"/>
            <rFont val="Arial"/>
            <family val="2"/>
            <charset val="238"/>
          </rPr>
          <t xml:space="preserve">F-15 - Alphabet Inc. - raport roczny 10-K za 2025 r., strona 48
Cytat: "Property and equipment, net 171,036 246,597"</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3</xdr:row>
                <xdr:rowOff>1</xdr:rowOff>
              </xdr:to>
            </anchor>
          </commentPr>
        </mc:Choice>
        <mc:Fallback/>
      </mc:AlternateContent>
    </comment>
    <comment ref="B20" authorId="0">
      <text>
        <r>
          <rPr>
            <sz val="10"/>
            <rFont val="Arial"/>
            <family val="2"/>
            <charset val="238"/>
          </rPr>
          <t xml:space="preserve">F-16 - Alphabet Inc. - raport roczny 10-K za 2025 r., strona 48
Cytat: "Property and equipment, net 171,036 246,597"</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3</xdr:row>
                <xdr:rowOff>1</xdr:rowOff>
              </xdr:to>
            </anchor>
          </commentPr>
        </mc:Choice>
        <mc:Fallback/>
      </mc:AlternateContent>
    </comment>
    <comment ref="B21" authorId="0">
      <text>
        <r>
          <rPr>
            <sz val="10"/>
            <rFont val="Arial"/>
            <family val="2"/>
            <charset val="238"/>
          </rPr>
          <t xml:space="preserve">F-17 - Alphabet Inc. - raport roczny 10-K za 2025 r., strona 37
Cytat: "Effective tax rate 16.4 % 16.8 %"
W ledgerze: 16.8 % (w arkuszu jako ułamek).</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3</xdr:row>
                <xdr:rowOff>9</xdr:rowOff>
              </xdr:to>
            </anchor>
          </commentPr>
        </mc:Choice>
        <mc:Fallback/>
      </mc:AlternateContent>
    </comment>
    <comment ref="B22" authorId="0">
      <text>
        <r>
          <rPr>
            <sz val="10"/>
            <rFont val="Arial"/>
            <family val="2"/>
            <charset val="238"/>
          </rPr>
          <t xml:space="preserve">F-18 - Alphabet Inc. - raport roczny 10-K za 2025 r., strona 37
Cytat: "Effective tax rate 16.4 % 16.8 %"
W ledgerze: 16.4 % (w arkuszu jako ułamek).</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3</xdr:row>
                <xdr:rowOff>9</xdr:rowOff>
              </xdr:to>
            </anchor>
          </commentPr>
        </mc:Choice>
        <mc:Fallback/>
      </mc:AlternateContent>
    </comment>
    <comment ref="B23" authorId="0">
      <text>
        <r>
          <rPr>
            <sz val="10"/>
            <rFont val="Arial"/>
            <family val="2"/>
            <charset val="238"/>
          </rPr>
          <t xml:space="preserve">F-19 - Alphabet Inc. - raport roczny 10-K za 2025 r., strona druga strona okładki (bez numeru)
Cytat: "As of January 28, 2026, there were 5,822 million shares of Alphabet’s Class A stock outstanding, 837 million shares of Alphabet’s Class B stock outstanding, and 5,438 million shares of the Alphabet’s Class C stock outstanding."</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5</xdr:row>
                <xdr:rowOff>14</xdr:rowOff>
              </xdr:to>
            </anchor>
          </commentPr>
        </mc:Choice>
        <mc:Fallback/>
      </mc:AlternateContent>
    </comment>
    <comment ref="B24" authorId="0">
      <text>
        <r>
          <rPr>
            <sz val="10"/>
            <rFont val="Arial"/>
            <family val="2"/>
            <charset val="238"/>
          </rPr>
          <t xml:space="preserve">F-20 - Alphabet Inc. - raport roczny 10-K za 2025 r., strona druga strona okładki (bez numeru)
Cytat: "As of January 28, 2026, there were 5,822 million shares of Alphabet’s Class A stock outstanding, 837 million shares of Alphabet’s Class B stock outstanding, and 5,438 million shares of the Alphabet’s Class C stock outstanding."</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5</xdr:row>
                <xdr:rowOff>14</xdr:rowOff>
              </xdr:to>
            </anchor>
          </commentPr>
        </mc:Choice>
        <mc:Fallback/>
      </mc:AlternateContent>
    </comment>
    <comment ref="B25" authorId="0">
      <text>
        <r>
          <rPr>
            <sz val="10"/>
            <rFont val="Arial"/>
            <family val="2"/>
            <charset val="238"/>
          </rPr>
          <t xml:space="preserve">F-21 - Alphabet Inc. - raport roczny 10-K za 2025 r., strona druga strona okładki (bez numeru)
Cytat: "As of January 28, 2026, there were 5,822 million shares of Alphabet’s Class A stock outstanding, 837 million shares of Alphabet’s Class B stock outstanding, and 5,438 million shares of the Alphabet’s Class C stock outstanding."</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5</xdr:row>
                <xdr:rowOff>14</xdr:rowOff>
              </xdr:to>
            </anchor>
          </commentPr>
        </mc:Choice>
        <mc:Fallback/>
      </mc:AlternateContent>
    </comment>
    <comment ref="B26" authorId="0">
      <text>
        <r>
          <rPr>
            <sz val="10"/>
            <rFont val="Arial"/>
            <family val="2"/>
            <charset val="238"/>
          </rPr>
          <t xml:space="preserve">F-22 - Alphabet Inc. - raport roczny 10-K za 2025 r., strona 33
Cytat: "Google Services total 304,930 342,721"</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2</xdr:row>
                <xdr:rowOff>19</xdr:rowOff>
              </xdr:to>
            </anchor>
          </commentPr>
        </mc:Choice>
        <mc:Fallback/>
      </mc:AlternateContent>
    </comment>
    <comment ref="B27" authorId="0">
      <text>
        <r>
          <rPr>
            <sz val="10"/>
            <rFont val="Arial"/>
            <family val="2"/>
            <charset val="238"/>
          </rPr>
          <t xml:space="preserve">F-23 - Alphabet Inc. - raport roczny 10-K za 2025 r., strona 33
Cytat: "Google Cloud 43,229 58,705"</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2</xdr:row>
                <xdr:rowOff>17</xdr:rowOff>
              </xdr:to>
            </anchor>
          </commentPr>
        </mc:Choice>
        <mc:Fallback/>
      </mc:AlternateContent>
    </comment>
    <comment ref="B28" authorId="0">
      <text>
        <r>
          <rPr>
            <sz val="10"/>
            <rFont val="Arial"/>
            <family val="2"/>
            <charset val="238"/>
          </rPr>
          <t xml:space="preserve">F-24 - Alphabet Inc. - raport roczny 10-K za 2025 r., strona 33
Cytat: "Other Bets 1,648 1,537"</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2</xdr:row>
                <xdr:rowOff>16</xdr:rowOff>
              </xdr:to>
            </anchor>
          </commentPr>
        </mc:Choice>
        <mc:Fallback/>
      </mc:AlternateContent>
    </comment>
    <comment ref="B29" authorId="0">
      <text>
        <r>
          <rPr>
            <sz val="10"/>
            <rFont val="Arial"/>
            <family val="2"/>
            <charset val="238"/>
          </rPr>
          <t xml:space="preserve">F-25 - Alphabet Inc. - raport roczny 10-K za 2025 r., strona 36
Cytat: "Google Services $ 121,263 $ 139,404"</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2</xdr:row>
                <xdr:rowOff>19</xdr:rowOff>
              </xdr:to>
            </anchor>
          </commentPr>
        </mc:Choice>
        <mc:Fallback/>
      </mc:AlternateContent>
    </comment>
    <comment ref="B30" authorId="0">
      <text>
        <r>
          <rPr>
            <sz val="10"/>
            <rFont val="Arial"/>
            <family val="2"/>
            <charset val="238"/>
          </rPr>
          <t xml:space="preserve">F-26 - Alphabet Inc. - raport roczny 10-K za 2025 r., strona 36
Cytat: "Google Cloud 6,112 13,910"</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2</xdr:row>
                <xdr:rowOff>16</xdr:rowOff>
              </xdr:to>
            </anchor>
          </commentPr>
        </mc:Choice>
        <mc:Fallback/>
      </mc:AlternateContent>
    </comment>
    <comment ref="B31" authorId="0">
      <text>
        <r>
          <rPr>
            <sz val="10"/>
            <rFont val="Arial"/>
            <family val="2"/>
            <charset val="238"/>
          </rPr>
          <t xml:space="preserve">F-27 - Alphabet Inc. - raport roczny 10-K za 2025 r., strona 36
Cytat: "Other Bets (4,444) (7,515)"</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2</xdr:row>
                <xdr:rowOff>17</xdr:rowOff>
              </xdr:to>
            </anchor>
          </commentPr>
        </mc:Choice>
        <mc:Fallback/>
      </mc:AlternateContent>
    </comment>
    <comment ref="B32" authorId="0">
      <text>
        <r>
          <rPr>
            <sz val="10"/>
            <rFont val="Arial"/>
            <family val="2"/>
            <charset val="238"/>
          </rPr>
          <t xml:space="preserve">F-28 - Alphabet Inc. - raport roczny 10-K za 2025 r., strona 33
Cytat: "Google Cloud 43,229 58,705"</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2</xdr:row>
                <xdr:rowOff>17</xdr:rowOff>
              </xdr:to>
            </anchor>
          </commentPr>
        </mc:Choice>
        <mc:Fallback/>
      </mc:AlternateContent>
    </comment>
    <comment ref="B33" authorId="0">
      <text>
        <r>
          <rPr>
            <sz val="10"/>
            <rFont val="Arial"/>
            <family val="2"/>
            <charset val="238"/>
          </rPr>
          <t xml:space="preserve">F-30 - Alphabet Inc. - raport roczny 10-K za 2025 r., strona 4
Cytat: "Today, all 15 of our half-billion-user products — including seven with two billion users — use our Gemini models."</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3</xdr:row>
                <xdr:rowOff>18</xdr:rowOff>
              </xdr:to>
            </anchor>
          </commentPr>
        </mc:Choice>
        <mc:Fallback/>
      </mc:AlternateContent>
    </comment>
    <comment ref="B34" authorId="0">
      <text>
        <r>
          <rPr>
            <sz val="10"/>
            <rFont val="Arial"/>
            <family val="2"/>
            <charset val="238"/>
          </rPr>
          <t xml:space="preserve">F-32 - Alphabet Inc. - raport roczny 10-K za 2025 r., strona 60
Cytat: "As of December 31, 2025, we had $242.8 billion of remaining performance obligations (“revenue backlog"), primarily related to Google Cloud."</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4</xdr:row>
                <xdr:rowOff>5</xdr:rowOff>
              </xdr:to>
            </anchor>
          </commentPr>
        </mc:Choice>
        <mc:Fallback/>
      </mc:AlternateContent>
    </comment>
    <comment ref="B35" authorId="0">
      <text>
        <r>
          <rPr>
            <sz val="10"/>
            <rFont val="Arial"/>
            <family val="2"/>
            <charset val="238"/>
          </rPr>
          <t xml:space="preserve">F-34 - Alphabet Inc. - raport roczny 10-K za 2025 r., strona 33
Cytat: "In February 2026, Waymo announced an investment round of $16.0 billion, the significant majority of which was funded by Alphabet."</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4</xdr:row>
                <xdr:rowOff>2</xdr:rowOff>
              </xdr:to>
            </anchor>
          </commentPr>
        </mc:Choice>
        <mc:Fallback/>
      </mc:AlternateContent>
    </comment>
    <comment ref="B36" authorId="0">
      <text>
        <r>
          <rPr>
            <sz val="10"/>
            <rFont val="Arial"/>
            <family val="2"/>
            <charset val="238"/>
          </rPr>
          <t xml:space="preserve">F-35 - Alphabet Inc. - raport roczny 10-K za 2025 r., strona 33
Cytat: "In 2025, we entered into definitive agreements to acquire Wiz, a leading cloud security platform, for $32.0 billion"</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3</xdr:row>
                <xdr:rowOff>19</xdr:rowOff>
              </xdr:to>
            </anchor>
          </commentPr>
        </mc:Choice>
        <mc:Fallback/>
      </mc:AlternateContent>
    </comment>
    <comment ref="B37" authorId="0">
      <text>
        <r>
          <rPr>
            <sz val="10"/>
            <rFont val="Arial"/>
            <family val="2"/>
            <charset val="238"/>
          </rPr>
          <t xml:space="preserve">F-37 - Alphabet Inc. - raport roczny 10-K za 2025 r., strona 9
Cytat: "We generated more than 70% of total revenues from online advertising in 2025."
W ledgerze: 70 % (w arkuszu jako ułamek).</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3</xdr:row>
                <xdr:rowOff>20</xdr:rowOff>
              </xdr:to>
            </anchor>
          </commentPr>
        </mc:Choice>
        <mc:Fallback/>
      </mc:AlternateContent>
    </comment>
    <comment ref="B38" authorId="0">
      <text>
        <r>
          <rPr>
            <sz val="10"/>
            <rFont val="Arial"/>
            <family val="2"/>
            <charset val="238"/>
          </rPr>
          <t xml:space="preserve">F-38 - Alphabet Inc. - raport roczny 10-K za 2025 r., strona 33
Cytat: "As of December 31, 2025, we had 190,820 employees."</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3</xdr:row>
                <xdr:rowOff>3</xdr:rowOff>
              </xdr:to>
            </anchor>
          </commentPr>
        </mc:Choice>
        <mc:Fallback/>
      </mc:AlternateContent>
    </comment>
    <comment ref="C5" authorId="0">
      <text>
        <r>
          <rPr>
            <sz val="10"/>
            <rFont val="Arial"/>
            <family val="2"/>
            <charset val="238"/>
          </rPr>
          <t xml:space="preserve">F-02 - Alphabet Inc. - raport roczny 10-K za 2025 r., strona 49
Cytat: "Revenues $ 307,394 $ 350,018 $ 402,836"</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2</xdr:row>
                <xdr:rowOff>20</xdr:rowOff>
              </xdr:to>
            </anchor>
          </commentPr>
        </mc:Choice>
        <mc:Fallback/>
      </mc:AlternateContent>
    </comment>
    <comment ref="C6" authorId="0">
      <text>
        <r>
          <rPr>
            <sz val="10"/>
            <rFont val="Arial"/>
            <family val="2"/>
            <charset val="238"/>
          </rPr>
          <t xml:space="preserve">F-05 - Alphabet Inc. - raport roczny 10-K za 2025 r., strona 49
Cytat: "Income from operations 84,293 112,390 129,039"</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3</xdr:row>
                <xdr:rowOff>1</xdr:rowOff>
              </xdr:to>
            </anchor>
          </commentPr>
        </mc:Choice>
        <mc:Fallback/>
      </mc:AlternateContent>
    </comment>
    <comment ref="D5" authorId="0">
      <text>
        <r>
          <rPr>
            <sz val="10"/>
            <rFont val="Arial"/>
            <family val="2"/>
            <charset val="238"/>
          </rPr>
          <t xml:space="preserve">F-01 - Alphabet Inc. - raport roczny 10-K za 2025 r., strona 49
Cytat: "Revenues $ 307,394 $ 350,018 $ 402,836"</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2</xdr:row>
                <xdr:rowOff>20</xdr:rowOff>
              </xdr:to>
            </anchor>
          </commentPr>
        </mc:Choice>
        <mc:Fallback/>
      </mc:AlternateContent>
    </comment>
    <comment ref="D6" authorId="0">
      <text>
        <r>
          <rPr>
            <sz val="10"/>
            <rFont val="Arial"/>
            <family val="2"/>
            <charset val="238"/>
          </rPr>
          <t xml:space="preserve">F-04 - Alphabet Inc. - raport roczny 10-K za 2025 r., strona 49
Cytat: "Income from operations 84,293 112,390 129,039"</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-451</xdr:colOff>
                <xdr:row>3</xdr:row>
                <xdr:rowOff>1</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ledger</author>
  </authors>
  <commentList>
    <comment ref="B5" authorId="0">
      <text>
        <r>
          <rPr>
            <sz val="10"/>
            <rFont val="Arial"/>
            <family val="2"/>
            <charset val="238"/>
          </rPr>
          <t xml:space="preserve">Z-01 (założenie)
Wzrost przychodów r/r w 2026 r.
Uzasadnienie: Przychody rosły o ok. 14% w 2024 r. (F-03 -&gt; F-02) i ok. 15% w 2025 r. (F-02 -&gt; F-01). Zakładamy podobne tempo w 2026 r., wspierane przez szybko rosnący Google Cloud (F-28 -&gt; F-23) i duży portfel zamówień (F-32).</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5</xdr:row>
                <xdr:rowOff>1</xdr:rowOff>
              </xdr:to>
            </anchor>
          </commentPr>
        </mc:Choice>
        <mc:Fallback/>
      </mc:AlternateContent>
    </comment>
    <comment ref="B7" authorId="0">
      <text>
        <r>
          <rPr>
            <sz val="10"/>
            <rFont val="Arial"/>
            <family val="2"/>
            <charset val="238"/>
          </rPr>
          <t xml:space="preserve">Z-06 (założenie)
Marża operacyjna w 2026 r.
Uzasadnienie: Marża operacyjna wyniosła ok. 32% w 2024 i 2025 r. (F-05/F-02, F-04/F-01), przy amortyzacji ok. 5% przychodów (F-08). Rosnąca amortyzacja (Z-17 do Z-21) obniża marżę o kilka punktów, częściowo równoważy to rosnąca rentowność Google Cloud (F-26) i mniejsza strata Other Bets niż w 2025 r. (F-27).</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6</xdr:row>
                <xdr:rowOff>0</xdr:rowOff>
              </xdr:to>
            </anchor>
          </commentPr>
        </mc:Choice>
        <mc:Fallback/>
      </mc:AlternateContent>
    </comment>
    <comment ref="B9" authorId="0">
      <text>
        <r>
          <rPr>
            <sz val="10"/>
            <rFont val="Arial"/>
            <family val="2"/>
            <charset val="238"/>
          </rPr>
          <t xml:space="preserve">Z-12 (założenie)
Nakłady inwestycyjne jako % przychodów w 2026 r.
Uzasadnienie: Spółka zapowiada znaczący wzrost inwestycji w infrastrukturę w 2026 r., ale nie podaje kwoty (F-36). W 2025 r. nakłady wyniosły ok. 23% przychodów (F-09, F-01); 35% prognozowanych przychodów to ok. 160 mld USD, czyli kolejny duży wzrost.</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5</xdr:row>
                <xdr:rowOff>11</xdr:rowOff>
              </xdr:to>
            </anchor>
          </commentPr>
        </mc:Choice>
        <mc:Fallback/>
      </mc:AlternateContent>
    </comment>
    <comment ref="B11" authorId="0">
      <text>
        <r>
          <rPr>
            <sz val="10"/>
            <rFont val="Arial"/>
            <family val="2"/>
            <charset val="238"/>
          </rPr>
          <t xml:space="preserve">Z-17 (założenie)
Amortyzacja jako % przychodów w 2026 r.
Uzasadnienie: W 2025 r. amortyzacja wyniosła ok. 5% przychodów i ok. 10% średnich aktywów trwałych netto (F-08, F-15, F-16). Nakłady dużo wyższe od amortyzacji (Z-12 do Z-16) powiększają majątek; przenosząc go rok po roku przy stawce 10%, amortyzacja rośnie do ok. 11% przychodów w 2030 r.</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5</xdr:row>
                <xdr:rowOff>18</xdr:rowOff>
              </xdr:to>
            </anchor>
          </commentPr>
        </mc:Choice>
        <mc:Fallback/>
      </mc:AlternateContent>
    </comment>
    <comment ref="B15" authorId="0">
      <text>
        <r>
          <rPr>
            <sz val="10"/>
            <rFont val="Arial"/>
            <family val="2"/>
            <charset val="238"/>
          </rPr>
          <t xml:space="preserve">Z-22 (założenie)
Stopa podatkowa do modelu DCF
Uzasadnienie: Efektywna stopa podatkowa wyniosła 16,4% w 2024 r. i 16,8% w 2025 r. (F-18, F-17). Raport nie podaje prognozy stopy, więc bierzemy 17%, blisko ostatniej wartości.</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4</xdr:row>
                <xdr:rowOff>8</xdr:rowOff>
              </xdr:to>
            </anchor>
          </commentPr>
        </mc:Choice>
        <mc:Fallback/>
      </mc:AlternateContent>
    </comment>
    <comment ref="B16" authorId="0">
      <text>
        <r>
          <rPr>
            <sz val="10"/>
            <rFont val="Arial"/>
            <family val="2"/>
            <charset val="238"/>
          </rPr>
          <t xml:space="preserve">Z-23 (założenie)
Beta akcji Alphabet
Uzasadnienie: Nie mamy w źródłach wyliczonej bety. Przyjmujemy 1,1, bo duże spółki technologiczne zależne od reklam (F-37) są zwykle nieco bardziej wrażliwe na rynek niż średnia; warto to później zweryfikować na danych notowań.</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4</xdr:row>
                <xdr:rowOff>18</xdr:rowOff>
              </xdr:to>
            </anchor>
          </commentPr>
        </mc:Choice>
        <mc:Fallback/>
      </mc:AlternateContent>
    </comment>
    <comment ref="B17" authorId="0">
      <text>
        <r>
          <rPr>
            <sz val="10"/>
            <rFont val="Arial"/>
            <family val="2"/>
            <charset val="238"/>
          </rPr>
          <t xml:space="preserve">Z-24 (założenie)
Premia za ryzyko rynkowe (USA)
Uzasadnienie: Typowa wartość stosowana dla rynku USA mieści się w przedziale ok. 4-6%; bierzemy środek. Razem z rentownością obligacji (R-02) i betą (Z-23) daje koszt kapitału własnego.</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4</xdr:row>
                <xdr:rowOff>10</xdr:rowOff>
              </xdr:to>
            </anchor>
          </commentPr>
        </mc:Choice>
        <mc:Fallback/>
      </mc:AlternateContent>
    </comment>
    <comment ref="B18" authorId="0">
      <text>
        <r>
          <rPr>
            <sz val="10"/>
            <rFont val="Arial"/>
            <family val="2"/>
            <charset val="238"/>
          </rPr>
          <t xml:space="preserve">Z-25 (założenie)
Wzrost w okresie rezydualnym (po 2030 r.)
Uzasadnienie: Dojrzała spółka rośnie mniej więcej w tempie nominalnej gospodarki. Wartość jest wyraźnie niższa niż rentowność 10-letnich obligacji USA (R-02) i niż wzrost w 2030 r. (Z-05).</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4</xdr:row>
                <xdr:rowOff>14</xdr:rowOff>
              </xdr:to>
            </anchor>
          </commentPr>
        </mc:Choice>
        <mc:Fallback/>
      </mc:AlternateContent>
    </comment>
    <comment ref="B19" authorId="0">
      <text>
        <r>
          <rPr>
            <sz val="10"/>
            <rFont val="Arial"/>
            <family val="2"/>
            <charset val="238"/>
          </rPr>
          <t xml:space="preserve">R-02 - FRED, Federal Reserve Bank of St. Louis - seria DGS10 (CSV), plik GOOG/zrodla/rynek/dgs10-2026-10-17.csv, pobrano 2026-10-17
Cytat: "2026-10-15,5.10"
W ledgerze: 5.1 % (w arkuszu jako ułamek).</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4</xdr:row>
                <xdr:rowOff>2</xdr:rowOff>
              </xdr:to>
            </anchor>
          </commentPr>
        </mc:Choice>
        <mc:Fallback/>
      </mc:AlternateContent>
    </comment>
    <comment ref="B20" authorId="0">
      <text>
        <r>
          <rPr>
            <sz val="10"/>
            <rFont val="Arial"/>
            <family val="2"/>
            <charset val="238"/>
          </rPr>
          <t xml:space="preserve">R-01 - Yahoo Finance - chart API (odpowiedź JSON), plik GOOG/zrodla/rynek/kurs-2026-10-17.json, pobrano 2026-10-17
Cytat: ""close": [ 348.9700012207031, 349.5199890136719, 343.6499938964844, 344.9100036621094, 336.9100036621094 ]"</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4</xdr:row>
                <xdr:rowOff>9</xdr:rowOff>
              </xdr:to>
            </anchor>
          </commentPr>
        </mc:Choice>
        <mc:Fallback/>
      </mc:AlternateContent>
    </comment>
    <comment ref="C5" authorId="0">
      <text>
        <r>
          <rPr>
            <sz val="10"/>
            <rFont val="Arial"/>
            <family val="2"/>
            <charset val="238"/>
          </rPr>
          <t xml:space="preserve">Z-02 (założenie)
Wzrost przychodów r/r w 2027 r.
Uzasadnienie: Stopniowe spowolnienie: ponad 70% przychodów to reklama online (F-37), a ten rynek rośnie wolniej niż chmura.</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3</xdr:row>
                <xdr:rowOff>15</xdr:rowOff>
              </xdr:to>
            </anchor>
          </commentPr>
        </mc:Choice>
        <mc:Fallback/>
      </mc:AlternateContent>
    </comment>
    <comment ref="C7" authorId="0">
      <text>
        <r>
          <rPr>
            <sz val="10"/>
            <rFont val="Arial"/>
            <family val="2"/>
            <charset val="238"/>
          </rPr>
          <t xml:space="preserve">Z-07 (założenie)
Marża operacyjna w 2027 r.
Uzasadnienie: Marża operacyjna wyniosła ok. 32% w 2024 i 2025 r. (F-05/F-02, F-04/F-01), przy amortyzacji ok. 5% przychodów (F-08). Rosnąca amortyzacja (Z-17 do Z-21) obniża marżę o kilka punktów, częściowo równoważy to rosnąca rentowność Google Cloud (F-26) i mniejsza strata Other Bets niż w 2025 r. (F-27).</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6</xdr:row>
                <xdr:rowOff>0</xdr:rowOff>
              </xdr:to>
            </anchor>
          </commentPr>
        </mc:Choice>
        <mc:Fallback/>
      </mc:AlternateContent>
    </comment>
    <comment ref="C9" authorId="0">
      <text>
        <r>
          <rPr>
            <sz val="10"/>
            <rFont val="Arial"/>
            <family val="2"/>
            <charset val="238"/>
          </rPr>
          <t xml:space="preserve">Z-13 (założenie)
Nakłady inwestycyjne jako % przychodów w 2027 r.
Uzasadnienie: Zakładamy, że nakłady w kwotach jeszcze lekko rosną, więc jako % przychodów trochę spadają.</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3</xdr:row>
                <xdr:rowOff>15</xdr:rowOff>
              </xdr:to>
            </anchor>
          </commentPr>
        </mc:Choice>
        <mc:Fallback/>
      </mc:AlternateContent>
    </comment>
    <comment ref="C11" authorId="0">
      <text>
        <r>
          <rPr>
            <sz val="10"/>
            <rFont val="Arial"/>
            <family val="2"/>
            <charset val="238"/>
          </rPr>
          <t xml:space="preserve">Z-18 (założenie)
Amortyzacja jako % przychodów w 2027 r.
Uzasadnienie: W 2025 r. amortyzacja wyniosła ok. 5% przychodów i ok. 10% średnich aktywów trwałych netto (F-08, F-15, F-16). Nakłady dużo wyższe od amortyzacji (Z-12 do Z-16) powiększają majątek; przenosząc go rok po roku przy stawce 10%, amortyzacja rośnie do ok. 11% przychodów w 2030 r.</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5</xdr:row>
                <xdr:rowOff>18</xdr:rowOff>
              </xdr:to>
            </anchor>
          </commentPr>
        </mc:Choice>
        <mc:Fallback/>
      </mc:AlternateContent>
    </comment>
    <comment ref="D5" authorId="0">
      <text>
        <r>
          <rPr>
            <sz val="10"/>
            <rFont val="Arial"/>
            <family val="2"/>
            <charset val="238"/>
          </rPr>
          <t xml:space="preserve">Z-03 (założenie)
Wzrost przychodów r/r w 2028 r.
Uzasadnienie: Wzrost dalej słabnie wraz ze skalą biznesu; Google Cloud (F-23) rośnie szybciej, ale jest wciąż znacznie mniejszy niż Google Services (F-22).</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4</xdr:row>
                <xdr:rowOff>3</xdr:rowOff>
              </xdr:to>
            </anchor>
          </commentPr>
        </mc:Choice>
        <mc:Fallback/>
      </mc:AlternateContent>
    </comment>
    <comment ref="D7" authorId="0">
      <text>
        <r>
          <rPr>
            <sz val="10"/>
            <rFont val="Arial"/>
            <family val="2"/>
            <charset val="238"/>
          </rPr>
          <t xml:space="preserve">Z-08 (założenie)
Marża operacyjna w 2028 r.
Uzasadnienie: Marża operacyjna wyniosła ok. 32% w 2024 i 2025 r. (F-05/F-02, F-04/F-01), przy amortyzacji ok. 5% przychodów (F-08). Rosnąca amortyzacja (Z-17 do Z-21) obniża marżę o kilka punktów, częściowo równoważy to rosnąca rentowność Google Cloud (F-26) i mniejsza strata Other Bets niż w 2025 r. (F-27).</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6</xdr:row>
                <xdr:rowOff>0</xdr:rowOff>
              </xdr:to>
            </anchor>
          </commentPr>
        </mc:Choice>
        <mc:Fallback/>
      </mc:AlternateContent>
    </comment>
    <comment ref="D9" authorId="0">
      <text>
        <r>
          <rPr>
            <sz val="10"/>
            <rFont val="Arial"/>
            <family val="2"/>
            <charset val="238"/>
          </rPr>
          <t xml:space="preserve">Z-14 (założenie)
Nakłady inwestycyjne jako % przychodów w 2028 r.
Uzasadnienie: Budowa infrastruktury AI stopniowo zwalnia; nakłady w kwotach zaczynają spadać.</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3</xdr:row>
                <xdr:rowOff>12</xdr:rowOff>
              </xdr:to>
            </anchor>
          </commentPr>
        </mc:Choice>
        <mc:Fallback/>
      </mc:AlternateContent>
    </comment>
    <comment ref="D11" authorId="0">
      <text>
        <r>
          <rPr>
            <sz val="10"/>
            <rFont val="Arial"/>
            <family val="2"/>
            <charset val="238"/>
          </rPr>
          <t xml:space="preserve">Z-19 (założenie)
Amortyzacja jako % przychodów w 2028 r.
Uzasadnienie: W 2025 r. amortyzacja wyniosła ok. 5% przychodów i ok. 10% średnich aktywów trwałych netto (F-08, F-15, F-16). Nakłady dużo wyższe od amortyzacji (Z-12 do Z-16) powiększają majątek; przenosząc go rok po roku przy stawce 10%, amortyzacja rośnie do ok. 11% przychodów w 2030 r.</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5</xdr:row>
                <xdr:rowOff>18</xdr:rowOff>
              </xdr:to>
            </anchor>
          </commentPr>
        </mc:Choice>
        <mc:Fallback/>
      </mc:AlternateContent>
    </comment>
    <comment ref="E5" authorId="0">
      <text>
        <r>
          <rPr>
            <sz val="10"/>
            <rFont val="Arial"/>
            <family val="2"/>
            <charset val="238"/>
          </rPr>
          <t xml:space="preserve">Z-04 (założenie)
Wzrost przychodów r/r w 2029 r.
Uzasadnienie: Kontynuacja łagodnego spowolnienia w stronę dojrzałej spółki.</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3</xdr:row>
                <xdr:rowOff>3</xdr:rowOff>
              </xdr:to>
            </anchor>
          </commentPr>
        </mc:Choice>
        <mc:Fallback/>
      </mc:AlternateContent>
    </comment>
    <comment ref="E7" authorId="0">
      <text>
        <r>
          <rPr>
            <sz val="10"/>
            <rFont val="Arial"/>
            <family val="2"/>
            <charset val="238"/>
          </rPr>
          <t xml:space="preserve">Z-09 (założenie)
Marża operacyjna w 2029 r.
Uzasadnienie: Marża operacyjna wyniosła ok. 32% w 2024 i 2025 r. (F-05/F-02, F-04/F-01), przy amortyzacji ok. 5% przychodów (F-08). Rosnąca amortyzacja (Z-17 do Z-21) obniża marżę o kilka punktów, częściowo równoważy to rosnąca rentowność Google Cloud (F-26) i mniejsza strata Other Bets niż w 2025 r. (F-27).</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6</xdr:row>
                <xdr:rowOff>0</xdr:rowOff>
              </xdr:to>
            </anchor>
          </commentPr>
        </mc:Choice>
        <mc:Fallback/>
      </mc:AlternateContent>
    </comment>
    <comment ref="E9" authorId="0">
      <text>
        <r>
          <rPr>
            <sz val="10"/>
            <rFont val="Arial"/>
            <family val="2"/>
            <charset val="238"/>
          </rPr>
          <t xml:space="preserve">Z-15 (założenie)
Nakłady inwestycyjne jako % przychodów w 2029 r.
Uzasadnienie: Dalsze zmniejszanie nakładów w stronę poziomu potrzebnego do utrzymania i umiarkowanego wzrostu.</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3</xdr:row>
                <xdr:rowOff>16</xdr:rowOff>
              </xdr:to>
            </anchor>
          </commentPr>
        </mc:Choice>
        <mc:Fallback/>
      </mc:AlternateContent>
    </comment>
    <comment ref="E11" authorId="0">
      <text>
        <r>
          <rPr>
            <sz val="10"/>
            <rFont val="Arial"/>
            <family val="2"/>
            <charset val="238"/>
          </rPr>
          <t xml:space="preserve">Z-20 (założenie)
Amortyzacja jako % przychodów w 2029 r.
Uzasadnienie: W 2025 r. amortyzacja wyniosła ok. 5% przychodów i ok. 10% średnich aktywów trwałych netto (F-08, F-15, F-16). Nakłady dużo wyższe od amortyzacji (Z-12 do Z-16) powiększają majątek; przenosząc go rok po roku przy stawce 10%, amortyzacja rośnie do ok. 11% przychodów w 2030 r.</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5</xdr:row>
                <xdr:rowOff>18</xdr:rowOff>
              </xdr:to>
            </anchor>
          </commentPr>
        </mc:Choice>
        <mc:Fallback/>
      </mc:AlternateContent>
    </comment>
    <comment ref="F5" authorId="0">
      <text>
        <r>
          <rPr>
            <sz val="10"/>
            <rFont val="Arial"/>
            <family val="2"/>
            <charset val="238"/>
          </rPr>
          <t xml:space="preserve">Z-05 (założenie)
Wzrost przychodów r/r w 2030 r.
Uzasadnienie: Ostatni rok prognozy; wzrost zbliża się do poziomu, z którego da się przejść do okresu rezydualnego (Z-25).</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3</xdr:row>
                <xdr:rowOff>14</xdr:rowOff>
              </xdr:to>
            </anchor>
          </commentPr>
        </mc:Choice>
        <mc:Fallback/>
      </mc:AlternateContent>
    </comment>
    <comment ref="F7" authorId="0">
      <text>
        <r>
          <rPr>
            <sz val="10"/>
            <rFont val="Arial"/>
            <family val="2"/>
            <charset val="238"/>
          </rPr>
          <t xml:space="preserve">Z-10 (założenie)
Marża operacyjna w 2030 r.
Uzasadnienie: Marża operacyjna wyniosła ok. 32% w 2024 i 2025 r. (F-05/F-02, F-04/F-01), przy amortyzacji ok. 5% przychodów (F-08). Rosnąca amortyzacja (Z-17 do Z-21) obniża marżę o kilka punktów, częściowo równoważy to rosnąca rentowność Google Cloud (F-26) i mniejsza strata Other Bets niż w 2025 r. (F-27).</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6</xdr:row>
                <xdr:rowOff>0</xdr:rowOff>
              </xdr:to>
            </anchor>
          </commentPr>
        </mc:Choice>
        <mc:Fallback/>
      </mc:AlternateContent>
    </comment>
    <comment ref="F9" authorId="0">
      <text>
        <r>
          <rPr>
            <sz val="10"/>
            <rFont val="Arial"/>
            <family val="2"/>
            <charset val="238"/>
          </rPr>
          <t xml:space="preserve">Z-16 (założenie)
Nakłady inwestycyjne jako % przychodów w 2030 r.
Uzasadnienie: Nakłady zbliżają się do poziomu rezydualnego (Z-26), ale wciąż są wyraźnie wyższe niż amortyzacja (Z-21), bo spółka nadal rośnie.</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4</xdr:row>
                <xdr:rowOff>4</xdr:rowOff>
              </xdr:to>
            </anchor>
          </commentPr>
        </mc:Choice>
        <mc:Fallback/>
      </mc:AlternateContent>
    </comment>
    <comment ref="F11" authorId="0">
      <text>
        <r>
          <rPr>
            <sz val="10"/>
            <rFont val="Arial"/>
            <family val="2"/>
            <charset val="238"/>
          </rPr>
          <t xml:space="preserve">Z-21 (założenie)
Amortyzacja jako % przychodów w 2030 r.
Uzasadnienie: W 2025 r. amortyzacja wyniosła ok. 5% przychodów i ok. 10% średnich aktywów trwałych netto (F-08, F-15, F-16). Nakłady dużo wyższe od amortyzacji (Z-12 do Z-16) powiększają majątek; przenosząc go rok po roku przy stawce 10%, amortyzacja rośnie do ok. 11% przychodów w 2030 r.</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5</xdr:row>
                <xdr:rowOff>18</xdr:rowOff>
              </xdr:to>
            </anchor>
          </commentPr>
        </mc:Choice>
        <mc:Fallback/>
      </mc:AlternateContent>
    </comment>
    <comment ref="G7" authorId="0">
      <text>
        <r>
          <rPr>
            <sz val="10"/>
            <rFont val="Arial"/>
            <family val="2"/>
            <charset val="238"/>
          </rPr>
          <t xml:space="preserve">Z-11 (założenie)
Marża operacyjna w okresie rezydualnym (po 2030 r.)
Uzasadnienie: Zakładamy, że marża z 2030 r. (Z-10) utrzymuje się, bo amortyzacja w okresie rezydualnym (Z-27) jest taka sama jak w 2030 r.</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4</xdr:row>
                <xdr:rowOff>4</xdr:rowOff>
              </xdr:to>
            </anchor>
          </commentPr>
        </mc:Choice>
        <mc:Fallback/>
      </mc:AlternateContent>
    </comment>
    <comment ref="G9" authorId="0">
      <text>
        <r>
          <rPr>
            <sz val="10"/>
            <rFont val="Arial"/>
            <family val="2"/>
            <charset val="238"/>
          </rPr>
          <t xml:space="preserve">Z-26 (założenie)
Nakłady inwestycyjne jako % przychodów w okresie rezydualnym
Uzasadnienie: Przy wzroście 3% (Z-25) majątek trwały musi rosnąć ok. 3% rocznie. Majątek netto ma wtedy wartość ok. 1,1 rocznych przychodów, więc nakłady powinny przewyższać amortyzację (Z-27) o ok. 3 punkty procentowe przychodów.</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5</xdr:row>
                <xdr:rowOff>9</xdr:rowOff>
              </xdr:to>
            </anchor>
          </commentPr>
        </mc:Choice>
        <mc:Fallback/>
      </mc:AlternateContent>
    </comment>
    <comment ref="G11" authorId="0">
      <text>
        <r>
          <rPr>
            <sz val="10"/>
            <rFont val="Arial"/>
            <family val="2"/>
            <charset val="238"/>
          </rPr>
          <t xml:space="preserve">Z-27 (założenie)
Amortyzacja jako % przychodów w okresie rezydualnym
Uzasadnienie: Pozostaje na poziomie z 2030 r. (Z-21): majątek zbudowany w latach 2026-2030 dalej się amortyzuje, a nakłady (Z-26) są tylko trochę wyższe niż amortyzacja.</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-37</xdr:colOff>
                <xdr:row>4</xdr:row>
                <xdr:rowOff>11</xdr:rowOff>
              </xdr:to>
            </anchor>
          </commentPr>
        </mc:Choice>
        <mc:Fallback/>
      </mc:AlternateContent>
    </comment>
  </commentList>
</comments>
</file>

<file path=xl/sharedStrings.xml><?xml version="1.0" encoding="utf-8"?>
<sst xmlns="http://schemas.openxmlformats.org/spreadsheetml/2006/main" count="1078" uniqueCount="464">
  <si>
    <t xml:space="preserve">GOOG - wycena metodą DCF</t>
  </si>
  <si>
    <t xml:space="preserve">Wszystkie liczby w tym arkuszu to formuły odwołujące się do pozostałych arkuszy.</t>
  </si>
  <si>
    <t xml:space="preserve">Wynik</t>
  </si>
  <si>
    <t xml:space="preserve">Wartość</t>
  </si>
  <si>
    <t xml:space="preserve">Wartość jednej akcji z DCF (USD)</t>
  </si>
  <si>
    <t xml:space="preserve">Aktualny kurs (USD)</t>
  </si>
  <si>
    <t xml:space="preserve">Różnica: wartość z DCF wobec kursu</t>
  </si>
  <si>
    <t xml:space="preserve">WACC</t>
  </si>
  <si>
    <t xml:space="preserve">Wzrost w okresie rezydualnym</t>
  </si>
  <si>
    <t xml:space="preserve">Wartość firmy (mln USD)</t>
  </si>
  <si>
    <t xml:space="preserve">Wartość kapitału własnego (mln USD)</t>
  </si>
  <si>
    <t xml:space="preserve">Udział wartości rezydualnej w wartości firmy</t>
  </si>
  <si>
    <t xml:space="preserve">Kluczowe założenia</t>
  </si>
  <si>
    <t xml:space="preserve">Wzrost przychodów 2026</t>
  </si>
  <si>
    <t xml:space="preserve">Wzrost przychodów 2030</t>
  </si>
  <si>
    <t xml:space="preserve">Marża operacyjna 2026</t>
  </si>
  <si>
    <t xml:space="preserve">Marża operacyjna po 2030</t>
  </si>
  <si>
    <t xml:space="preserve">Nakłady inwestycyjne / przychody 2026</t>
  </si>
  <si>
    <t xml:space="preserve">Nakłady inwestycyjne / przychody po 2030</t>
  </si>
  <si>
    <t xml:space="preserve">Amortyzacja / przychody po 2030</t>
  </si>
  <si>
    <t xml:space="preserve">Stopa podatkowa</t>
  </si>
  <si>
    <t xml:space="preserve">Stopa wolna od ryzyka (10Y UST)</t>
  </si>
  <si>
    <t xml:space="preserve">Beta</t>
  </si>
  <si>
    <t xml:space="preserve">Premia za ryzyko rynkowe</t>
  </si>
  <si>
    <t xml:space="preserve">Dane do wykresów</t>
  </si>
  <si>
    <t xml:space="preserve">Rok</t>
  </si>
  <si>
    <t xml:space="preserve">Przychody (mln USD)</t>
  </si>
  <si>
    <t xml:space="preserve">Marża operacyjna</t>
  </si>
  <si>
    <t xml:space="preserve">FCF (mln USD)</t>
  </si>
  <si>
    <t xml:space="preserve">2023</t>
  </si>
  <si>
    <t xml:space="preserve">2024</t>
  </si>
  <si>
    <t xml:space="preserve">2025</t>
  </si>
  <si>
    <t xml:space="preserve">2026</t>
  </si>
  <si>
    <t xml:space="preserve">2027</t>
  </si>
  <si>
    <t xml:space="preserve">2028</t>
  </si>
  <si>
    <t xml:space="preserve">2029</t>
  </si>
  <si>
    <t xml:space="preserve">2030</t>
  </si>
  <si>
    <t xml:space="preserve">Od wartości firmy do kapitału</t>
  </si>
  <si>
    <t xml:space="preserve">Podstawa (pomocnicza)</t>
  </si>
  <si>
    <t xml:space="preserve">Wartość (mln USD)</t>
  </si>
  <si>
    <t xml:space="preserve">PV FCF 2026-2030</t>
  </si>
  <si>
    <t xml:space="preserve">PV wartości rezydualnej</t>
  </si>
  <si>
    <t xml:space="preserve">Wartość firmy</t>
  </si>
  <si>
    <t xml:space="preserve">+ Gotówka i papiery</t>
  </si>
  <si>
    <t xml:space="preserve">- Dług</t>
  </si>
  <si>
    <t xml:space="preserve">Kapitał własny</t>
  </si>
  <si>
    <t xml:space="preserve">Kapitał własny / liczba akcji (mln) = wartość jednej akcji (USD):</t>
  </si>
  <si>
    <t xml:space="preserve">GOOG - dane historyczne z raportu 10-K (mln USD, jeśli nie podano inaczej)</t>
  </si>
  <si>
    <t xml:space="preserve">Niebieskie liczby pochodzą z ledgera; obok id wpisu, w komentarzu komórki cytat i strona źródła.</t>
  </si>
  <si>
    <t xml:space="preserve">Pozycja</t>
  </si>
  <si>
    <t xml:space="preserve">id 2023</t>
  </si>
  <si>
    <t xml:space="preserve">id 2024</t>
  </si>
  <si>
    <t xml:space="preserve">id 2025</t>
  </si>
  <si>
    <t xml:space="preserve">Przychody</t>
  </si>
  <si>
    <t xml:space="preserve">F-03</t>
  </si>
  <si>
    <t xml:space="preserve">F-02</t>
  </si>
  <si>
    <t xml:space="preserve">F-01</t>
  </si>
  <si>
    <t xml:space="preserve">Zysk operacyjny</t>
  </si>
  <si>
    <t xml:space="preserve">F-06</t>
  </si>
  <si>
    <t xml:space="preserve">F-05</t>
  </si>
  <si>
    <t xml:space="preserve">F-04</t>
  </si>
  <si>
    <t xml:space="preserve">Wzrost przychodów r/r</t>
  </si>
  <si>
    <t xml:space="preserve">Pozostałe fakty</t>
  </si>
  <si>
    <t xml:space="preserve">Jednostka</t>
  </si>
  <si>
    <t xml:space="preserve">Okres</t>
  </si>
  <si>
    <t xml:space="preserve">id</t>
  </si>
  <si>
    <t xml:space="preserve">Zysk netto (Net income)</t>
  </si>
  <si>
    <t xml:space="preserve">mln USD</t>
  </si>
  <si>
    <t xml:space="preserve">F-07</t>
  </si>
  <si>
    <t xml:space="preserve">Amortyzacja rzeczowych aktywów trwałych (Depreciation of property and equipment), rachunek przepływów</t>
  </si>
  <si>
    <t xml:space="preserve">F-08</t>
  </si>
  <si>
    <t xml:space="preserve">Nakłady inwestycyjne (Purchases of property and equipment), wypływ gotówki</t>
  </si>
  <si>
    <t xml:space="preserve">F-09</t>
  </si>
  <si>
    <t xml:space="preserve">Zysk przed opodatkowaniem (Income before income taxes)</t>
  </si>
  <si>
    <t xml:space="preserve">F-10</t>
  </si>
  <si>
    <t xml:space="preserve">Podatek dochodowy (Provision for income taxes)</t>
  </si>
  <si>
    <t xml:space="preserve">F-11</t>
  </si>
  <si>
    <t xml:space="preserve">Gotówka i ekwiwalenty (Cash and cash equivalents) na koniec roku</t>
  </si>
  <si>
    <t xml:space="preserve">2025-12-31</t>
  </si>
  <si>
    <t xml:space="preserve">F-12</t>
  </si>
  <si>
    <t xml:space="preserve">Papiery wartościowe (Marketable securities) na koniec roku</t>
  </si>
  <si>
    <t xml:space="preserve">F-13</t>
  </si>
  <si>
    <t xml:space="preserve">Dług długoterminowy (Long-term debt) na koniec roku</t>
  </si>
  <si>
    <t xml:space="preserve">F-14</t>
  </si>
  <si>
    <t xml:space="preserve">Rzeczowe aktywa trwałe netto (Property and equipment, net) na koniec roku</t>
  </si>
  <si>
    <t xml:space="preserve">F-15</t>
  </si>
  <si>
    <t xml:space="preserve">2024-12-31</t>
  </si>
  <si>
    <t xml:space="preserve">F-16</t>
  </si>
  <si>
    <t xml:space="preserve">Efektywna stopa podatkowa (Effective tax rate)</t>
  </si>
  <si>
    <t xml:space="preserve">ułamek (%)</t>
  </si>
  <si>
    <t xml:space="preserve">F-17</t>
  </si>
  <si>
    <t xml:space="preserve">F-18</t>
  </si>
  <si>
    <t xml:space="preserve">Liczba akcji klasy A w obrocie</t>
  </si>
  <si>
    <t xml:space="preserve">mln szt.</t>
  </si>
  <si>
    <t xml:space="preserve">2026-01-28</t>
  </si>
  <si>
    <t xml:space="preserve">F-19</t>
  </si>
  <si>
    <t xml:space="preserve">Liczba akcji klasy B w obrocie</t>
  </si>
  <si>
    <t xml:space="preserve">F-20</t>
  </si>
  <si>
    <t xml:space="preserve">Liczba akcji klasy C w obrocie</t>
  </si>
  <si>
    <t xml:space="preserve">F-21</t>
  </si>
  <si>
    <t xml:space="preserve">Przychody segmentu Google Services (Google Services total)</t>
  </si>
  <si>
    <t xml:space="preserve">F-22</t>
  </si>
  <si>
    <t xml:space="preserve">Przychody segmentu Google Cloud</t>
  </si>
  <si>
    <t xml:space="preserve">F-23</t>
  </si>
  <si>
    <t xml:space="preserve">Przychody segmentu Other Bets</t>
  </si>
  <si>
    <t xml:space="preserve">F-24</t>
  </si>
  <si>
    <t xml:space="preserve">Zysk operacyjny segmentu Google Services</t>
  </si>
  <si>
    <t xml:space="preserve">F-25</t>
  </si>
  <si>
    <t xml:space="preserve">Zysk operacyjny segmentu Google Cloud</t>
  </si>
  <si>
    <t xml:space="preserve">F-26</t>
  </si>
  <si>
    <t xml:space="preserve">Wynik operacyjny segmentu Other Bets (strata)</t>
  </si>
  <si>
    <t xml:space="preserve">F-27</t>
  </si>
  <si>
    <t xml:space="preserve">F-28</t>
  </si>
  <si>
    <t xml:space="preserve">Liczba produktów Google z ponad pół miliardem użytkowników, które korzystają z modeli Gemini (wszystkie takie produkty)</t>
  </si>
  <si>
    <t xml:space="preserve">szt.</t>
  </si>
  <si>
    <t xml:space="preserve">stan w raporcie (luty 2026)</t>
  </si>
  <si>
    <t xml:space="preserve">F-30</t>
  </si>
  <si>
    <t xml:space="preserve">Portfel zamówień (remaining performance obligations, revenue backlog), głównie Google Cloud, na koniec roku</t>
  </si>
  <si>
    <t xml:space="preserve">mld USD</t>
  </si>
  <si>
    <t xml:space="preserve">F-32</t>
  </si>
  <si>
    <t xml:space="preserve">Runda finansowania Waymo ogłoszona w lutym 2026 r., w większości sfinansowana przez Alphabet</t>
  </si>
  <si>
    <t xml:space="preserve">2026-02</t>
  </si>
  <si>
    <t xml:space="preserve">F-34</t>
  </si>
  <si>
    <t xml:space="preserve">Cena przejęcia Wiz (platforma bezpieczeństwa chmury), umowa z 2025 r.</t>
  </si>
  <si>
    <t xml:space="preserve">F-35</t>
  </si>
  <si>
    <t xml:space="preserve">Udział reklamy online w przychodach ogółem: ponad 70%</t>
  </si>
  <si>
    <t xml:space="preserve">F-37</t>
  </si>
  <si>
    <t xml:space="preserve">Liczba pracowników na koniec roku</t>
  </si>
  <si>
    <t xml:space="preserve">osób</t>
  </si>
  <si>
    <t xml:space="preserve">F-38</t>
  </si>
  <si>
    <t xml:space="preserve">Wielkości wyliczone</t>
  </si>
  <si>
    <t xml:space="preserve">Formuła</t>
  </si>
  <si>
    <t xml:space="preserve">Gotówka i papiery wartościowe</t>
  </si>
  <si>
    <t xml:space="preserve">F-12 + F-13</t>
  </si>
  <si>
    <t xml:space="preserve">Dług (długoterminowy, plus krótkoterminowy, jeśli jest w ledgerze)</t>
  </si>
  <si>
    <t xml:space="preserve">Liczba akcji wszystkich klas</t>
  </si>
  <si>
    <t xml:space="preserve">(F-19 + F-20 + F-21), w mln szt.</t>
  </si>
  <si>
    <t xml:space="preserve">Nakłady inwestycyjne / przychody</t>
  </si>
  <si>
    <t xml:space="preserve">%</t>
  </si>
  <si>
    <t xml:space="preserve">|F-09| / F-01</t>
  </si>
  <si>
    <t xml:space="preserve">Amortyzacja / przychody</t>
  </si>
  <si>
    <t xml:space="preserve">(F-08) / F-01</t>
  </si>
  <si>
    <t xml:space="preserve">Efektywna stopa podatkowa (wyliczona)</t>
  </si>
  <si>
    <t xml:space="preserve">F-11 / F-10</t>
  </si>
  <si>
    <t xml:space="preserve">GOOG - założenia modelu DCF</t>
  </si>
  <si>
    <t xml:space="preserve">Niebieskie komórki to założenia z ledgera (Z-..) i dane rynkowe (R-..). Zmiana wartości przelicza cały model. Uzasadnienie w komentarzu komórki i w tabeli poniżej.</t>
  </si>
  <si>
    <t xml:space="preserve">Prognoza</t>
  </si>
  <si>
    <t xml:space="preserve">Po 2030</t>
  </si>
  <si>
    <t xml:space="preserve">   id wpisu</t>
  </si>
  <si>
    <t xml:space="preserve">Z-01</t>
  </si>
  <si>
    <t xml:space="preserve">Z-02</t>
  </si>
  <si>
    <t xml:space="preserve">Z-03</t>
  </si>
  <si>
    <t xml:space="preserve">Z-04</t>
  </si>
  <si>
    <t xml:space="preserve">Z-05</t>
  </si>
  <si>
    <t xml:space="preserve">Z-06</t>
  </si>
  <si>
    <t xml:space="preserve">Z-07</t>
  </si>
  <si>
    <t xml:space="preserve">Z-08</t>
  </si>
  <si>
    <t xml:space="preserve">Z-09</t>
  </si>
  <si>
    <t xml:space="preserve">Z-10</t>
  </si>
  <si>
    <t xml:space="preserve">Z-11</t>
  </si>
  <si>
    <t xml:space="preserve">Z-12</t>
  </si>
  <si>
    <t xml:space="preserve">Z-13</t>
  </si>
  <si>
    <t xml:space="preserve">Z-14</t>
  </si>
  <si>
    <t xml:space="preserve">Z-15</t>
  </si>
  <si>
    <t xml:space="preserve">Z-16</t>
  </si>
  <si>
    <t xml:space="preserve">Z-26</t>
  </si>
  <si>
    <t xml:space="preserve">Z-17</t>
  </si>
  <si>
    <t xml:space="preserve">Z-18</t>
  </si>
  <si>
    <t xml:space="preserve">Z-19</t>
  </si>
  <si>
    <t xml:space="preserve">Z-20</t>
  </si>
  <si>
    <t xml:space="preserve">Z-21</t>
  </si>
  <si>
    <t xml:space="preserve">Z-27</t>
  </si>
  <si>
    <t xml:space="preserve">Pozostałe założenia i dane rynkowe</t>
  </si>
  <si>
    <t xml:space="preserve">Uwagi</t>
  </si>
  <si>
    <t xml:space="preserve">Stopa podatkowa do modelu DCF</t>
  </si>
  <si>
    <t xml:space="preserve">Z-22</t>
  </si>
  <si>
    <t xml:space="preserve">założenie</t>
  </si>
  <si>
    <t xml:space="preserve">Beta akcji Alphabet</t>
  </si>
  <si>
    <t xml:space="preserve">Z-23</t>
  </si>
  <si>
    <t xml:space="preserve">Premia za ryzyko rynkowe (USA)</t>
  </si>
  <si>
    <t xml:space="preserve">Z-24</t>
  </si>
  <si>
    <t xml:space="preserve">Wzrost w okresie rezydualnym (po 2030 r.)</t>
  </si>
  <si>
    <t xml:space="preserve">Z-25</t>
  </si>
  <si>
    <t xml:space="preserve">Rentowność 10-letnich obligacji skarbowych USA (seria DGS10)</t>
  </si>
  <si>
    <t xml:space="preserve">R-02</t>
  </si>
  <si>
    <t xml:space="preserve">stan na 2026-10-15, pobrano 2026-10-17</t>
  </si>
  <si>
    <t xml:space="preserve">Kurs zamknięcia akcji GOOG (klasa C, Nasdaq), ostatnia sesja; zaokrąglony do centów</t>
  </si>
  <si>
    <t xml:space="preserve">R-01</t>
  </si>
  <si>
    <t xml:space="preserve">stan na 2026-10-16, pobrano 2026-10-17</t>
  </si>
  <si>
    <t xml:space="preserve">Koszt kapitału (WACC)</t>
  </si>
  <si>
    <t xml:space="preserve">Koszt kapitału własnego (CAPM)</t>
  </si>
  <si>
    <t xml:space="preserve">stopa wolna od ryzyka + beta × premia za ryzyko</t>
  </si>
  <si>
    <t xml:space="preserve">Dług (mln USD)</t>
  </si>
  <si>
    <t xml:space="preserve">z arkusza 'Dane historyczne'</t>
  </si>
  <si>
    <t xml:space="preserve">Kapitalizacja rynkowa (mln USD)</t>
  </si>
  <si>
    <t xml:space="preserve">kurs × liczba akcji</t>
  </si>
  <si>
    <t xml:space="preserve">Udział długu w finansowaniu D/(D+E)</t>
  </si>
  <si>
    <t xml:space="preserve">dług / (dług + kapitalizacja)</t>
  </si>
  <si>
    <t xml:space="preserve">Próg istotności długu (parametr modelu)</t>
  </si>
  <si>
    <t xml:space="preserve">powyżej progu dług trzeba ująć w WACC</t>
  </si>
  <si>
    <t xml:space="preserve">Czy dług jest istotny?</t>
  </si>
  <si>
    <t xml:space="preserve">równy kosztowi kapitału własnego, bo dług jest poniżej progu istotności</t>
  </si>
  <si>
    <t xml:space="preserve">Założenie</t>
  </si>
  <si>
    <t xml:space="preserve">Uzasadnienie</t>
  </si>
  <si>
    <t xml:space="preserve">Wzrost przychodów r/r w 2026 r.</t>
  </si>
  <si>
    <t xml:space="preserve">Przychody rosły o ok. 14% w 2024 r. (F-03 -&gt; F-02) i ok. 15% w 2025 r. (F-02 -&gt; F-01). Zakładamy podobne tempo w 2026 r., wspierane przez szybko rosnący Google Cloud (F-28 -&gt; F-23) i duży portfel zamówień (F-32).</t>
  </si>
  <si>
    <t xml:space="preserve">Wzrost przychodów r/r w 2027 r.</t>
  </si>
  <si>
    <t xml:space="preserve">Stopniowe spowolnienie: ponad 70% przychodów to reklama online (F-37), a ten rynek rośnie wolniej niż chmura.</t>
  </si>
  <si>
    <t xml:space="preserve">Wzrost przychodów r/r w 2028 r.</t>
  </si>
  <si>
    <t xml:space="preserve">Wzrost dalej słabnie wraz ze skalą biznesu; Google Cloud (F-23) rośnie szybciej, ale jest wciąż znacznie mniejszy niż Google Services (F-22).</t>
  </si>
  <si>
    <t xml:space="preserve">Wzrost przychodów r/r w 2029 r.</t>
  </si>
  <si>
    <t xml:space="preserve">Kontynuacja łagodnego spowolnienia w stronę dojrzałej spółki.</t>
  </si>
  <si>
    <t xml:space="preserve">Wzrost przychodów r/r w 2030 r.</t>
  </si>
  <si>
    <t xml:space="preserve">Ostatni rok prognozy; wzrost zbliża się do poziomu, z którego da się przejść do okresu rezydualnego (Z-25).</t>
  </si>
  <si>
    <t xml:space="preserve">Marża operacyjna w 2026 r.</t>
  </si>
  <si>
    <t xml:space="preserve">Marża operacyjna wyniosła ok. 32% w 2024 i 2025 r. (F-05/F-02, F-04/F-01), przy amortyzacji ok. 5% przychodów (F-08). Rosnąca amortyzacja (Z-17 do Z-21) obniża marżę o kilka punktów, częściowo równoważy to rosnąca rentowność Google Cloud (F-26) i mniejsza strata Other Bets niż w 2025 r. (F-27).</t>
  </si>
  <si>
    <t xml:space="preserve">Marża operacyjna w 2027 r.</t>
  </si>
  <si>
    <t xml:space="preserve">Marża operacyjna w 2028 r.</t>
  </si>
  <si>
    <t xml:space="preserve">Marża operacyjna w 2029 r.</t>
  </si>
  <si>
    <t xml:space="preserve">Marża operacyjna w 2030 r.</t>
  </si>
  <si>
    <t xml:space="preserve">Marża operacyjna w okresie rezydualnym (po 2030 r.)</t>
  </si>
  <si>
    <t xml:space="preserve">Zakładamy, że marża z 2030 r. (Z-10) utrzymuje się, bo amortyzacja w okresie rezydualnym (Z-27) jest taka sama jak w 2030 r.</t>
  </si>
  <si>
    <t xml:space="preserve">Nakłady inwestycyjne jako % przychodów w 2026 r.</t>
  </si>
  <si>
    <t xml:space="preserve">Spółka zapowiada znaczący wzrost inwestycji w infrastrukturę w 2026 r., ale nie podaje kwoty (F-36). W 2025 r. nakłady wyniosły ok. 23% przychodów (F-09, F-01); 35% prognozowanych przychodów to ok. 160 mld USD, czyli kolejny duży wzrost.</t>
  </si>
  <si>
    <t xml:space="preserve">Nakłady inwestycyjne jako % przychodów w 2027 r.</t>
  </si>
  <si>
    <t xml:space="preserve">Zakładamy, że nakłady w kwotach jeszcze lekko rosną, więc jako % przychodów trochę spadają.</t>
  </si>
  <si>
    <t xml:space="preserve">Nakłady inwestycyjne jako % przychodów w 2028 r.</t>
  </si>
  <si>
    <t xml:space="preserve">Budowa infrastruktury AI stopniowo zwalnia; nakłady w kwotach zaczynają spadać.</t>
  </si>
  <si>
    <t xml:space="preserve">Nakłady inwestycyjne jako % przychodów w 2029 r.</t>
  </si>
  <si>
    <t xml:space="preserve">Dalsze zmniejszanie nakładów w stronę poziomu potrzebnego do utrzymania i umiarkowanego wzrostu.</t>
  </si>
  <si>
    <t xml:space="preserve">Nakłady inwestycyjne jako % przychodów w 2030 r.</t>
  </si>
  <si>
    <t xml:space="preserve">Nakłady zbliżają się do poziomu rezydualnego (Z-26), ale wciąż są wyraźnie wyższe niż amortyzacja (Z-21), bo spółka nadal rośnie.</t>
  </si>
  <si>
    <t xml:space="preserve">Amortyzacja jako % przychodów w 2026 r.</t>
  </si>
  <si>
    <t xml:space="preserve">W 2025 r. amortyzacja wyniosła ok. 5% przychodów i ok. 10% średnich aktywów trwałych netto (F-08, F-15, F-16). Nakłady dużo wyższe od amortyzacji (Z-12 do Z-16) powiększają majątek; przenosząc go rok po roku przy stawce 10%, amortyzacja rośnie do ok. 11% przychodów w 2030 r.</t>
  </si>
  <si>
    <t xml:space="preserve">Amortyzacja jako % przychodów w 2027 r.</t>
  </si>
  <si>
    <t xml:space="preserve">Amortyzacja jako % przychodów w 2028 r.</t>
  </si>
  <si>
    <t xml:space="preserve">Amortyzacja jako % przychodów w 2029 r.</t>
  </si>
  <si>
    <t xml:space="preserve">Amortyzacja jako % przychodów w 2030 r.</t>
  </si>
  <si>
    <t xml:space="preserve">Efektywna stopa podatkowa wyniosła 16,4% w 2024 r. i 16,8% w 2025 r. (F-18, F-17). Raport nie podaje prognozy stopy, więc bierzemy 17%, blisko ostatniej wartości.</t>
  </si>
  <si>
    <t xml:space="preserve">Nie mamy w źródłach wyliczonej bety. Przyjmujemy 1,1, bo duże spółki technologiczne zależne od reklam (F-37) są zwykle nieco bardziej wrażliwe na rynek niż średnia; warto to później zweryfikować na danych notowań.</t>
  </si>
  <si>
    <t xml:space="preserve">Typowa wartość stosowana dla rynku USA mieści się w przedziale ok. 4-6%; bierzemy środek. Razem z rentownością obligacji (R-02) i betą (Z-23) daje koszt kapitału własnego.</t>
  </si>
  <si>
    <t xml:space="preserve">Dojrzała spółka rośnie mniej więcej w tempie nominalnej gospodarki. Wartość jest wyraźnie niższa niż rentowność 10-letnich obligacji USA (R-02) i niż wzrost w 2030 r. (Z-05).</t>
  </si>
  <si>
    <t xml:space="preserve">Nakłady inwestycyjne jako % przychodów w okresie rezydualnym</t>
  </si>
  <si>
    <t xml:space="preserve">Przy wzroście 3% (Z-25) majątek trwały musi rosnąć ok. 3% rocznie. Majątek netto ma wtedy wartość ok. 1,1 rocznych przychodów, więc nakłady powinny przewyższać amortyzację (Z-27) o ok. 3 punkty procentowe przychodów.</t>
  </si>
  <si>
    <t xml:space="preserve">Amortyzacja jako % przychodów w okresie rezydualnym</t>
  </si>
  <si>
    <t xml:space="preserve">Pozostaje na poziomie z 2030 r. (Z-21): majątek zbudowany w latach 2026-2030 dalej się amortyzuje, a nakłady (Z-26) są tylko trochę wyższe niż amortyzacja.</t>
  </si>
  <si>
    <t xml:space="preserve">GOOG - model DCF (mln USD)</t>
  </si>
  <si>
    <t xml:space="preserve">Wszystkie komórki to formuły. Dane wejściowe są w arkuszach 'Założenia' i 'Dane historyczne'. Przepływy dyskontowane na koniec każdego roku od końca 2025 r.</t>
  </si>
  <si>
    <t xml:space="preserve">2025 (raport)</t>
  </si>
  <si>
    <t xml:space="preserve">2026 P</t>
  </si>
  <si>
    <t xml:space="preserve">2027 P</t>
  </si>
  <si>
    <t xml:space="preserve">2028 P</t>
  </si>
  <si>
    <t xml:space="preserve">2029 P</t>
  </si>
  <si>
    <t xml:space="preserve">2030 P</t>
  </si>
  <si>
    <t xml:space="preserve">Rezydualny (2031)</t>
  </si>
  <si>
    <t xml:space="preserve">Okres dyskontowy t (lata)</t>
  </si>
  <si>
    <t xml:space="preserve">Wzrost r/r</t>
  </si>
  <si>
    <t xml:space="preserve">Zysk operacyjny (EBIT)</t>
  </si>
  <si>
    <t xml:space="preserve">Podatek</t>
  </si>
  <si>
    <t xml:space="preserve">NOPAT</t>
  </si>
  <si>
    <t xml:space="preserve">Amortyzacja</t>
  </si>
  <si>
    <t xml:space="preserve">Nakłady inwestycyjne</t>
  </si>
  <si>
    <t xml:space="preserve">Wolne przepływy pieniężne (FCF)</t>
  </si>
  <si>
    <t xml:space="preserve">Czynnik dyskontowy</t>
  </si>
  <si>
    <t xml:space="preserve">Wartość bieżąca FCF</t>
  </si>
  <si>
    <t xml:space="preserve">Wycena</t>
  </si>
  <si>
    <t xml:space="preserve">Suma wartości bieżących FCF 2026-2030</t>
  </si>
  <si>
    <t xml:space="preserve">FCF okresu rezydualnego (rok 2031)</t>
  </si>
  <si>
    <t xml:space="preserve">Wzrost w okresie rezydualnym (g)</t>
  </si>
  <si>
    <t xml:space="preserve">Wartość rezydualna na koniec 2030 (Gordon: FCF 2031 / (WACC - g))</t>
  </si>
  <si>
    <t xml:space="preserve">Wartość bieżąca wartości rezydualnej</t>
  </si>
  <si>
    <t xml:space="preserve">Wartość firmy (EV)</t>
  </si>
  <si>
    <t xml:space="preserve">+ Gotówka i papiery wartościowe</t>
  </si>
  <si>
    <t xml:space="preserve">Wartość kapitału własnego</t>
  </si>
  <si>
    <t xml:space="preserve">Liczba akcji wszystkich klas (mln)</t>
  </si>
  <si>
    <t xml:space="preserve">Wartość jednej akcji (USD)</t>
  </si>
  <si>
    <t xml:space="preserve">GOOG - wartość jednej akcji (USD) przy różnych WACC i wzroście rezydualnym</t>
  </si>
  <si>
    <t xml:space="preserve">Każda komórka liczy pełną wycenę formułą: przepływy 2026-2030 z arkusza DCF, wartość rezydualna dla danego g i WACC, gotówka, dług, liczba akcji. Środek tabeli = wariant bazowy.</t>
  </si>
  <si>
    <t xml:space="preserve">Krok WACC (parametr)</t>
  </si>
  <si>
    <t xml:space="preserve">Krok g (parametr)</t>
  </si>
  <si>
    <t xml:space="preserve">WACC →</t>
  </si>
  <si>
    <t xml:space="preserve">g ↓</t>
  </si>
  <si>
    <t xml:space="preserve">Wartość bazowa (USD)</t>
  </si>
  <si>
    <t xml:space="preserve">Kontrola: środek tabeli = wartość bazowa</t>
  </si>
  <si>
    <t xml:space="preserve">GOOG - ledger: wszystkie wpisy ze źródłem i cytatem</t>
  </si>
  <si>
    <t xml:space="preserve">klasa</t>
  </si>
  <si>
    <t xml:space="preserve">klucz</t>
  </si>
  <si>
    <t xml:space="preserve">opis</t>
  </si>
  <si>
    <t xml:space="preserve">wartość</t>
  </si>
  <si>
    <t xml:space="preserve">jednostka</t>
  </si>
  <si>
    <t xml:space="preserve">okres</t>
  </si>
  <si>
    <t xml:space="preserve">źródło</t>
  </si>
  <si>
    <t xml:space="preserve">strona</t>
  </si>
  <si>
    <t xml:space="preserve">adres</t>
  </si>
  <si>
    <t xml:space="preserve">cytat / uzasadnienie</t>
  </si>
  <si>
    <t xml:space="preserve">fakt</t>
  </si>
  <si>
    <t xml:space="preserve">revenue_2025</t>
  </si>
  <si>
    <t xml:space="preserve">Przychody ogółem (Revenues)</t>
  </si>
  <si>
    <t xml:space="preserve">Alphabet Inc. - raport roczny 10-K za 2025 r.</t>
  </si>
  <si>
    <t xml:space="preserve">49</t>
  </si>
  <si>
    <t xml:space="preserve">https://www.sec.gov/Archives/edgar/data/1652044/000165204426000018/goog-20251231.htm</t>
  </si>
  <si>
    <t xml:space="preserve">Revenues $ 307,394 $ 350,018 $ 402,836</t>
  </si>
  <si>
    <t xml:space="preserve">revenue_2024</t>
  </si>
  <si>
    <t xml:space="preserve">revenue_2023</t>
  </si>
  <si>
    <t xml:space="preserve">operating_income_2025</t>
  </si>
  <si>
    <t xml:space="preserve">Zysk operacyjny (Income from operations)</t>
  </si>
  <si>
    <t xml:space="preserve">Income from operations 84,293 112,390 129,039</t>
  </si>
  <si>
    <t xml:space="preserve">operating_income_2024</t>
  </si>
  <si>
    <t xml:space="preserve">operating_income_2023</t>
  </si>
  <si>
    <t xml:space="preserve">net_income_2025</t>
  </si>
  <si>
    <t xml:space="preserve">Net income $ 73,795 $ 100,118 $ 132,170</t>
  </si>
  <si>
    <t xml:space="preserve">depreciation_2025</t>
  </si>
  <si>
    <t xml:space="preserve">52</t>
  </si>
  <si>
    <t xml:space="preserve">Depreciation of property and equipment 11,946 15,311 21,136</t>
  </si>
  <si>
    <t xml:space="preserve">capex_2025</t>
  </si>
  <si>
    <t xml:space="preserve">Purchases of property and equipment (32,251) (52,535) (91,447)</t>
  </si>
  <si>
    <t xml:space="preserve">income_before_tax_2025</t>
  </si>
  <si>
    <t xml:space="preserve">Income before income taxes 85,717 119,815 158,826</t>
  </si>
  <si>
    <t xml:space="preserve">income_tax_2025</t>
  </si>
  <si>
    <t xml:space="preserve">Provision for income taxes 11,922 19,697 26,656</t>
  </si>
  <si>
    <t xml:space="preserve">cash_and_equivalents_2025</t>
  </si>
  <si>
    <t xml:space="preserve">48</t>
  </si>
  <si>
    <t xml:space="preserve">Cash and cash equivalents $ 23,466 $ 30,708</t>
  </si>
  <si>
    <t xml:space="preserve">marketable_securities_2025</t>
  </si>
  <si>
    <t xml:space="preserve">Marketable securities 72,191 96,135</t>
  </si>
  <si>
    <t xml:space="preserve">long_term_debt_2025</t>
  </si>
  <si>
    <t xml:space="preserve">Long-term debt 10,883 46,547</t>
  </si>
  <si>
    <t xml:space="preserve">ppe_net_2025</t>
  </si>
  <si>
    <t xml:space="preserve">Property and equipment, net 171,036 246,597</t>
  </si>
  <si>
    <t xml:space="preserve">ppe_net_2024</t>
  </si>
  <si>
    <t xml:space="preserve">effective_tax_rate_2025</t>
  </si>
  <si>
    <t xml:space="preserve">37</t>
  </si>
  <si>
    <t xml:space="preserve">Effective tax rate 16.4 % 16.8 %</t>
  </si>
  <si>
    <t xml:space="preserve">effective_tax_rate_2024</t>
  </si>
  <si>
    <t xml:space="preserve">shares_class_a</t>
  </si>
  <si>
    <t xml:space="preserve">druga strona okładki (bez numeru)</t>
  </si>
  <si>
    <t xml:space="preserve">As of January 28, 2026, there were 5,822 million shares of Alphabet’s Class A stock outstanding, 837 million shares of Alphabet’s Class B stock outstanding, and 5,438 million shares of the Alphabet’s Class C stock outstanding.</t>
  </si>
  <si>
    <t xml:space="preserve">shares_class_b</t>
  </si>
  <si>
    <t xml:space="preserve">shares_class_c</t>
  </si>
  <si>
    <t xml:space="preserve">segment_revenue_google_services_2025</t>
  </si>
  <si>
    <t xml:space="preserve">33</t>
  </si>
  <si>
    <t xml:space="preserve">Google Services total 304,930 342,721</t>
  </si>
  <si>
    <t xml:space="preserve">segment_revenue_google_cloud_2025</t>
  </si>
  <si>
    <t xml:space="preserve">Google Cloud 43,229 58,705</t>
  </si>
  <si>
    <t xml:space="preserve">segment_revenue_other_bets_2025</t>
  </si>
  <si>
    <t xml:space="preserve">Other Bets 1,648 1,537</t>
  </si>
  <si>
    <t xml:space="preserve">segment_operating_income_google_services_2025</t>
  </si>
  <si>
    <t xml:space="preserve">36</t>
  </si>
  <si>
    <t xml:space="preserve">Google Services $ 121,263 $ 139,404</t>
  </si>
  <si>
    <t xml:space="preserve">segment_operating_income_google_cloud_2025</t>
  </si>
  <si>
    <t xml:space="preserve">Google Cloud 6,112 13,910</t>
  </si>
  <si>
    <t xml:space="preserve">segment_operating_income_other_bets_2025</t>
  </si>
  <si>
    <t xml:space="preserve">Other Bets (4,444) (7,515)</t>
  </si>
  <si>
    <t xml:space="preserve">segment_revenue_google_cloud_2024</t>
  </si>
  <si>
    <t xml:space="preserve">F-29</t>
  </si>
  <si>
    <t xml:space="preserve">ai_model_gemini_3</t>
  </si>
  <si>
    <t xml:space="preserve">Gemini 3 - według spółki jej najbardziej inteligentny model AI</t>
  </si>
  <si>
    <t xml:space="preserve">Gemini 3</t>
  </si>
  <si>
    <t xml:space="preserve">n/d</t>
  </si>
  <si>
    <t xml:space="preserve">4</t>
  </si>
  <si>
    <t xml:space="preserve">Over the last decade, our research teams have pushed the boundaries of AI forward, which is displayed through Gemini 3, our most intelligent AI model yet.</t>
  </si>
  <si>
    <t xml:space="preserve">gemini_half_billion_user_products</t>
  </si>
  <si>
    <t xml:space="preserve">Today, all 15 of our half-billion-user products — including seven with two billion users — use our Gemini models.</t>
  </si>
  <si>
    <t xml:space="preserve">F-31</t>
  </si>
  <si>
    <t xml:space="preserve">tpu_ironwood</t>
  </si>
  <si>
    <t xml:space="preserve">Ironwood - własny układ AI Google (TPU) siódmej generacji</t>
  </si>
  <si>
    <t xml:space="preserve">Ironwood</t>
  </si>
  <si>
    <t xml:space="preserve">our own custom-built Tensor Processing Units (TPUs), such as Ironwood, our seventh-generation TPU.</t>
  </si>
  <si>
    <t xml:space="preserve">revenue_backlog_2025</t>
  </si>
  <si>
    <t xml:space="preserve">60</t>
  </si>
  <si>
    <t xml:space="preserve">As of December 31, 2025, we had $242.8 billion of remaining performance obligations (“revenue backlog"), primarily related to Google Cloud.</t>
  </si>
  <si>
    <t xml:space="preserve">F-33</t>
  </si>
  <si>
    <t xml:space="preserve">waymo_paid_rides</t>
  </si>
  <si>
    <t xml:space="preserve">Waymo świadczy w pełni autonomiczne, płatne przejazdy w wielu miastach</t>
  </si>
  <si>
    <t xml:space="preserve">płatne przejazdy autonomiczne</t>
  </si>
  <si>
    <t xml:space="preserve">In Other Bets, our fully autonomous driving technology company, Waymo, is now providing fully autonomous, paid ride-hailing services to customers in multiple cities.</t>
  </si>
  <si>
    <t xml:space="preserve">waymo_investment_round_2026</t>
  </si>
  <si>
    <t xml:space="preserve">In February 2026, Waymo announced an investment round of $16.0 billion, the significant majority of which was funded by Alphabet.</t>
  </si>
  <si>
    <t xml:space="preserve">wiz_acquisition_price</t>
  </si>
  <si>
    <t xml:space="preserve">In 2025, we entered into definitive agreements to acquire Wiz, a leading cloud security platform, for $32.0 billion</t>
  </si>
  <si>
    <t xml:space="preserve">F-36</t>
  </si>
  <si>
    <t xml:space="preserve">capex_plan_2026</t>
  </si>
  <si>
    <t xml:space="preserve">Plan nakładów na 2026 r.: znaczący wzrost inwestycji w infrastrukturę techniczną wobec 2025 r. (raport nie podaje kwoty)</t>
  </si>
  <si>
    <t xml:space="preserve">znaczący wzrost</t>
  </si>
  <si>
    <t xml:space="preserve">38</t>
  </si>
  <si>
    <t xml:space="preserve">In 2026, we expect to significantly increase, relative to 2025, our investment in our technical infrastructure, including servers and network equipment, and data centers.</t>
  </si>
  <si>
    <t xml:space="preserve">advertising_revenue_share_2025</t>
  </si>
  <si>
    <t xml:space="preserve">9</t>
  </si>
  <si>
    <t xml:space="preserve">We generated more than 70% of total revenues from online advertising in 2025.</t>
  </si>
  <si>
    <t xml:space="preserve">employees_2025</t>
  </si>
  <si>
    <t xml:space="preserve">As of December 31, 2025, we had 190,820 employees.</t>
  </si>
  <si>
    <t xml:space="preserve">F-39</t>
  </si>
  <si>
    <t xml:space="preserve">risk_advertising</t>
  </si>
  <si>
    <t xml:space="preserve">Ryzyko: duża część przychodów pochodzi z reklam; mniejsze wydatki reklamodawców, utrata partnerów, zmiany w reklamie online lub blokowanie reklam mogą zaszkodzić biznesowi</t>
  </si>
  <si>
    <t xml:space="preserve">zależność od reklam</t>
  </si>
  <si>
    <t xml:space="preserve">We generate a significant portion of our revenues from advertising. Reduced spending by advertisers, a loss of partners, shifts in online advertising, new and evolving advertising formats, or new or existing technologies that block ads online or affect our ability to personalize ads could harm our business.</t>
  </si>
  <si>
    <t xml:space="preserve">F-40</t>
  </si>
  <si>
    <t xml:space="preserve">risk_ai_investment</t>
  </si>
  <si>
    <t xml:space="preserve">Ryzyko: rosnące inwestycje w nowe biznesy, produkty i technologie są z natury ryzykowne i mogą zaszkodzić wynikom</t>
  </si>
  <si>
    <t xml:space="preserve">ryzykowne inwestycje w nowe obszary (w tym AI)</t>
  </si>
  <si>
    <t xml:space="preserve">Our increasing investment in new businesses, products, services, and technologies is inherently risky, and could divert management attention and harm our business, financial condition, and operating results.</t>
  </si>
  <si>
    <t xml:space="preserve">F-41</t>
  </si>
  <si>
    <t xml:space="preserve">risk_legal_regulatory</t>
  </si>
  <si>
    <t xml:space="preserve">Ryzyko: pozwy, postępowania regulacyjne i antymonopolowe mogą zaszkodzić biznesowi, reputacji i wynikom</t>
  </si>
  <si>
    <t xml:space="preserve">spory prawne i regulacje (w tym konkurencja)</t>
  </si>
  <si>
    <t xml:space="preserve">18</t>
  </si>
  <si>
    <t xml:space="preserve">We are and may continue to be subject to claims, lawsuits, regulatory and government inquiries and investigations, enforcement actions, consent orders, and other forms of regulatory scrutiny and legal liability, including competition matters, that could harm our business, reputation, financial condition, and operating results.</t>
  </si>
  <si>
    <t xml:space="preserve">dana_rynkowa</t>
  </si>
  <si>
    <t xml:space="preserve">share_price</t>
  </si>
  <si>
    <t xml:space="preserve">USD</t>
  </si>
  <si>
    <t xml:space="preserve">2026-10-16</t>
  </si>
  <si>
    <t xml:space="preserve">Yahoo Finance - chart API (odpowiedź JSON)</t>
  </si>
  <si>
    <t xml:space="preserve">n/d (www)</t>
  </si>
  <si>
    <t xml:space="preserve">https://query1.finance.yahoo.com/v8/finance/chart/GOOG?range=5d&amp;interval=1d</t>
  </si>
  <si>
    <t xml:space="preserve">"close": [ 348.9700012207031, 349.5199890136719, 343.6499938964844, 344.9100036621094, 336.9100036621094 ]</t>
  </si>
  <si>
    <t xml:space="preserve">us_treasury_10y_yield</t>
  </si>
  <si>
    <t xml:space="preserve">2026-10-15</t>
  </si>
  <si>
    <t xml:space="preserve">FRED, Federal Reserve Bank of St. Louis - seria DGS10 (CSV)</t>
  </si>
  <si>
    <t xml:space="preserve">https://fred.stlouisfed.org/graph/fredgraph.csv?id=DGS10</t>
  </si>
  <si>
    <t xml:space="preserve">2026-10-15,5.10</t>
  </si>
  <si>
    <t xml:space="preserve">zalozenie</t>
  </si>
  <si>
    <t xml:space="preserve">revenue_growth_2026</t>
  </si>
  <si>
    <t xml:space="preserve">revenue_growth_2027</t>
  </si>
  <si>
    <t xml:space="preserve">revenue_growth_2028</t>
  </si>
  <si>
    <t xml:space="preserve">revenue_growth_2029</t>
  </si>
  <si>
    <t xml:space="preserve">revenue_growth_2030</t>
  </si>
  <si>
    <t xml:space="preserve">operating_margin_2026</t>
  </si>
  <si>
    <t xml:space="preserve">operating_margin_2027</t>
  </si>
  <si>
    <t xml:space="preserve">operating_margin_2028</t>
  </si>
  <si>
    <t xml:space="preserve">operating_margin_2029</t>
  </si>
  <si>
    <t xml:space="preserve">operating_margin_2030</t>
  </si>
  <si>
    <t xml:space="preserve">operating_margin_terminal</t>
  </si>
  <si>
    <t xml:space="preserve">po 2030</t>
  </si>
  <si>
    <t xml:space="preserve">capex_pct_revenue_2026</t>
  </si>
  <si>
    <t xml:space="preserve">capex_pct_revenue_2027</t>
  </si>
  <si>
    <t xml:space="preserve">capex_pct_revenue_2028</t>
  </si>
  <si>
    <t xml:space="preserve">capex_pct_revenue_2029</t>
  </si>
  <si>
    <t xml:space="preserve">capex_pct_revenue_2030</t>
  </si>
  <si>
    <t xml:space="preserve">da_pct_revenue_2026</t>
  </si>
  <si>
    <t xml:space="preserve">da_pct_revenue_2027</t>
  </si>
  <si>
    <t xml:space="preserve">da_pct_revenue_2028</t>
  </si>
  <si>
    <t xml:space="preserve">da_pct_revenue_2029</t>
  </si>
  <si>
    <t xml:space="preserve">da_pct_revenue_2030</t>
  </si>
  <si>
    <t xml:space="preserve">tax_rate</t>
  </si>
  <si>
    <t xml:space="preserve">2026-2030 i po 2030</t>
  </si>
  <si>
    <t xml:space="preserve">beta</t>
  </si>
  <si>
    <t xml:space="preserve">equity_risk_premium</t>
  </si>
  <si>
    <t xml:space="preserve">terminal_growth</t>
  </si>
  <si>
    <t xml:space="preserve">capex_pct_revenue_terminal</t>
  </si>
  <si>
    <t xml:space="preserve">da_pct_revenue_terminal</t>
  </si>
  <si>
    <t xml:space="preserve">G-01</t>
  </si>
  <si>
    <t xml:space="preserve">grafika</t>
  </si>
  <si>
    <t xml:space="preserve">photo_waymo</t>
  </si>
  <si>
    <t xml:space="preserve">Autonomiczny samochód Waymo (Jaguar I-Pace) w San Francisco, bez kierowcy</t>
  </si>
  <si>
    <t xml:space="preserve">GOOG/zrodla/grafiki/waymo-jaguar-i-pace-in-san-francisco-2023-dllu.jpg</t>
  </si>
  <si>
    <t xml:space="preserve">Wikimedia Commons</t>
  </si>
  <si>
    <t xml:space="preserve">https://commons.wikimedia.org/wiki/File:Waymo_Jaguar_I-Pace_in_San_Francisco_2023_dllu.jpg</t>
  </si>
  <si>
    <t xml:space="preserve">autor: Dllu; licencja: CC BY 4.0</t>
  </si>
  <si>
    <t xml:space="preserve">G-02</t>
  </si>
  <si>
    <t xml:space="preserve">photo_data_center</t>
  </si>
  <si>
    <t xml:space="preserve">Centrum danych Google w Council Bluffs (Iowa), widok z lotu ptaka</t>
  </si>
  <si>
    <t xml:space="preserve">GOOG/zrodla/grafiki/google-data-center-council-bluffs-iowa-49062863796.jpg</t>
  </si>
  <si>
    <t xml:space="preserve">https://commons.wikimedia.org/wiki/File:Google_Data_Center,_Council_Bluffs_Iowa_(49062863796).jpg</t>
  </si>
  <si>
    <t xml:space="preserve">autor: Chad Davis; licencja: CC BY 2.0</t>
  </si>
</sst>
</file>

<file path=xl/styles.xml><?xml version="1.0" encoding="utf-8"?>
<styleSheet xmlns="http://schemas.openxmlformats.org/spreadsheetml/2006/main">
  <numFmts count="13">
    <numFmt numFmtId="164" formatCode="General"/>
    <numFmt numFmtId="165" formatCode="\$#,##0.00;&quot;($&quot;#,##0.00\);\-"/>
    <numFmt numFmtId="166" formatCode="0.0%;\(0.0%\);\-"/>
    <numFmt numFmtId="167" formatCode="#,##0;\(#,##0\);\-"/>
    <numFmt numFmtId="168" formatCode="0.00"/>
    <numFmt numFmtId="169" formatCode="#,##0"/>
    <numFmt numFmtId="170" formatCode="0%"/>
    <numFmt numFmtId="171" formatCode="#,##0.0"/>
    <numFmt numFmtId="172" formatCode="#,##0.00"/>
    <numFmt numFmtId="173" formatCode="#,##0.##"/>
    <numFmt numFmtId="174" formatCode="0.00%"/>
    <numFmt numFmtId="175" formatCode="0"/>
    <numFmt numFmtId="176" formatCode="0.0000"/>
  </numFmts>
  <fonts count="15">
    <font>
      <sz val="11"/>
      <color theme="1"/>
      <name val="Calibri"/>
      <family val="2"/>
      <charset val="1"/>
    </font>
    <font>
      <sz val="10"/>
      <name val="Arial"/>
      <family val="0"/>
      <charset val="238"/>
    </font>
    <font>
      <sz val="10"/>
      <name val="Arial"/>
      <family val="0"/>
      <charset val="238"/>
    </font>
    <font>
      <sz val="10"/>
      <name val="Arial"/>
      <family val="0"/>
      <charset val="238"/>
    </font>
    <font>
      <b val="true"/>
      <sz val="14"/>
      <name val="Arial"/>
      <family val="0"/>
      <charset val="1"/>
    </font>
    <font>
      <sz val="9"/>
      <color rgb="FF808080"/>
      <name val="Arial"/>
      <family val="0"/>
      <charset val="1"/>
    </font>
    <font>
      <b val="true"/>
      <sz val="11"/>
      <color rgb="FFFFFFFF"/>
      <name val="Arial"/>
      <family val="0"/>
      <charset val="1"/>
    </font>
    <font>
      <b val="true"/>
      <sz val="11"/>
      <name val="Arial"/>
      <family val="0"/>
      <charset val="1"/>
    </font>
    <font>
      <sz val="11"/>
      <color rgb="FF008000"/>
      <name val="Arial"/>
      <family val="0"/>
      <charset val="1"/>
    </font>
    <font>
      <sz val="11"/>
      <name val="Arial"/>
      <family val="0"/>
      <charset val="1"/>
    </font>
    <font>
      <b val="true"/>
      <sz val="18"/>
      <color rgb="FF000000"/>
      <name val="Calibri"/>
      <family val="2"/>
    </font>
    <font>
      <sz val="10"/>
      <color rgb="FF000000"/>
      <name val="Calibri"/>
      <family val="2"/>
    </font>
    <font>
      <b val="true"/>
      <sz val="10"/>
      <color rgb="FF000000"/>
      <name val="Calibri"/>
      <family val="2"/>
    </font>
    <font>
      <sz val="11"/>
      <color rgb="FF0000FF"/>
      <name val="Arial"/>
      <family val="0"/>
      <charset val="1"/>
    </font>
    <font>
      <sz val="10"/>
      <name val="Arial"/>
      <family val="2"/>
      <charset val="238"/>
    </font>
  </fonts>
  <fills count="6">
    <fill>
      <patternFill patternType="none"/>
    </fill>
    <fill>
      <patternFill patternType="gray125"/>
    </fill>
    <fill>
      <patternFill patternType="solid">
        <fgColor rgb="FF1F3864"/>
        <bgColor rgb="FF333333"/>
      </patternFill>
    </fill>
    <fill>
      <patternFill patternType="solid">
        <fgColor rgb="FFE2EFDA"/>
        <bgColor rgb="FFD9E1F2"/>
      </patternFill>
    </fill>
    <fill>
      <patternFill patternType="solid">
        <fgColor rgb="FFFFFF00"/>
        <bgColor rgb="FFFFFF00"/>
      </patternFill>
    </fill>
    <fill>
      <patternFill patternType="solid">
        <fgColor rgb="FFD9E1F2"/>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7" fontId="13"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71" fontId="13" fillId="0" borderId="1" xfId="0" applyFont="true" applyBorder="true" applyAlignment="false" applyProtection="false">
      <alignment horizontal="general" vertical="bottom" textRotation="0" wrapText="false" indent="0" shrinkToFit="false"/>
      <protection locked="true" hidden="false"/>
    </xf>
    <xf numFmtId="169" fontId="13" fillId="0" borderId="1" xfId="0" applyFont="true" applyBorder="true" applyAlignment="false" applyProtection="false">
      <alignment horizontal="general" vertical="bottom" textRotation="0" wrapText="false" indent="0" shrinkToFit="false"/>
      <protection locked="true" hidden="false"/>
    </xf>
    <xf numFmtId="172" fontId="13" fillId="0" borderId="1" xfId="0" applyFont="true" applyBorder="true" applyAlignment="false" applyProtection="false">
      <alignment horizontal="general" vertical="bottom" textRotation="0" wrapText="false" indent="0" shrinkToFit="false"/>
      <protection locked="true" hidden="false"/>
    </xf>
    <xf numFmtId="173" fontId="13" fillId="0" borderId="1" xfId="0" applyFont="true" applyBorder="true" applyAlignment="false" applyProtection="false">
      <alignment horizontal="general" vertical="bottom" textRotation="0" wrapText="false" indent="0" shrinkToFit="false"/>
      <protection locked="true" hidden="false"/>
    </xf>
    <xf numFmtId="171" fontId="9" fillId="0" borderId="1" xfId="0" applyFont="true" applyBorder="true" applyAlignment="false" applyProtection="false">
      <alignment horizontal="general" vertical="bottom" textRotation="0" wrapText="false" indent="0" shrinkToFit="false"/>
      <protection locked="true" hidden="false"/>
    </xf>
    <xf numFmtId="166" fontId="13" fillId="4" borderId="1" xfId="0" applyFont="true" applyBorder="true" applyAlignment="false" applyProtection="false">
      <alignment horizontal="general" vertical="bottom" textRotation="0" wrapText="false" indent="0" shrinkToFit="false"/>
      <protection locked="true" hidden="false"/>
    </xf>
    <xf numFmtId="168" fontId="13" fillId="4" borderId="1" xfId="0" applyFont="true" applyBorder="true" applyAlignment="false" applyProtection="false">
      <alignment horizontal="general" vertical="bottom" textRotation="0" wrapText="false" indent="0" shrinkToFit="false"/>
      <protection locked="true" hidden="false"/>
    </xf>
    <xf numFmtId="174" fontId="13" fillId="0" borderId="1" xfId="0" applyFont="true" applyBorder="tru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7" fillId="3" borderId="1"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center" vertical="top"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75" fontId="9"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76" fontId="9" fillId="0" borderId="1" xfId="0" applyFont="true" applyBorder="true" applyAlignment="false" applyProtection="false">
      <alignment horizontal="general" vertical="bottom" textRotation="0" wrapText="false" indent="0" shrinkToFit="false"/>
      <protection locked="true" hidden="false"/>
    </xf>
    <xf numFmtId="171" fontId="8" fillId="0" borderId="1" xfId="0" applyFont="true" applyBorder="true" applyAlignment="false" applyProtection="false">
      <alignment horizontal="general" vertical="bottom" textRotation="0" wrapText="false" indent="0" shrinkToFit="false"/>
      <protection locked="true" hidden="false"/>
    </xf>
    <xf numFmtId="166" fontId="7" fillId="5"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73" fontId="9"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8EA9DB"/>
      <rgbColor rgb="FFBE4B48"/>
      <rgbColor rgb="FFFFFF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4F81BD"/>
      <rgbColor rgb="FF87878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Przychody 2023-2025 i prognoza 2026-2030 (mln USD) oraz marża operacyjna</a:t>
            </a:r>
          </a:p>
        </c:rich>
      </c:tx>
      <c:overlay val="0"/>
      <c:spPr>
        <a:noFill/>
        <a:ln w="0">
          <a:noFill/>
        </a:ln>
      </c:spPr>
    </c:title>
    <c:autoTitleDeleted val="0"/>
    <c:plotArea>
      <c:barChart>
        <c:barDir val="col"/>
        <c:grouping val="clustered"/>
        <c:varyColors val="0"/>
        <c:ser>
          <c:idx val="0"/>
          <c:order val="0"/>
          <c:tx>
            <c:strRef>
              <c:f>Podsumowanie!E28</c:f>
              <c:strCache>
                <c:ptCount val="1"/>
                <c:pt idx="0">
                  <c:v>Przychody (mln USD)</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Podsumowanie!$D$29:$D$36</c:f>
              <c:strCache>
                <c:ptCount val="8"/>
                <c:pt idx="0">
                  <c:v>2023</c:v>
                </c:pt>
                <c:pt idx="1">
                  <c:v>2024</c:v>
                </c:pt>
                <c:pt idx="2">
                  <c:v>2025</c:v>
                </c:pt>
                <c:pt idx="3">
                  <c:v>2026</c:v>
                </c:pt>
                <c:pt idx="4">
                  <c:v>2027</c:v>
                </c:pt>
                <c:pt idx="5">
                  <c:v>2028</c:v>
                </c:pt>
                <c:pt idx="6">
                  <c:v>2029</c:v>
                </c:pt>
                <c:pt idx="7">
                  <c:v>2030</c:v>
                </c:pt>
              </c:strCache>
            </c:strRef>
          </c:cat>
          <c:val>
            <c:numRef>
              <c:f>Podsumowanie!$E$29:$E$36</c:f>
              <c:numCache>
                <c:formatCode>#,##0;\(#,##0\);\-</c:formatCode>
                <c:ptCount val="8"/>
                <c:pt idx="0">
                  <c:v>307394</c:v>
                </c:pt>
                <c:pt idx="1">
                  <c:v>350018</c:v>
                </c:pt>
                <c:pt idx="2">
                  <c:v>402836</c:v>
                </c:pt>
                <c:pt idx="3">
                  <c:v>459233.04</c:v>
                </c:pt>
                <c:pt idx="4">
                  <c:v>514341.0048</c:v>
                </c:pt>
                <c:pt idx="5">
                  <c:v>565775.10528</c:v>
                </c:pt>
                <c:pt idx="6">
                  <c:v>611037.1137024</c:v>
                </c:pt>
                <c:pt idx="7">
                  <c:v>647699.340524544</c:v>
                </c:pt>
              </c:numCache>
            </c:numRef>
          </c:val>
        </c:ser>
        <c:gapWidth val="150"/>
        <c:overlap val="0"/>
        <c:axId val="51438647"/>
        <c:axId val="95941635"/>
      </c:barChart>
      <c:lineChart>
        <c:grouping val="standard"/>
        <c:varyColors val="0"/>
        <c:ser>
          <c:idx val="1"/>
          <c:order val="1"/>
          <c:tx>
            <c:strRef>
              <c:f>Podsumowanie!F28</c:f>
              <c:strCache>
                <c:ptCount val="1"/>
                <c:pt idx="0">
                  <c:v>Marża operacyjna</c:v>
                </c:pt>
              </c:strCache>
            </c:strRef>
          </c:tx>
          <c:spPr>
            <a:solidFill>
              <a:srgbClr val="BE4B48"/>
            </a:solidFill>
            <a:ln w="12600">
              <a:solidFill>
                <a:srgbClr val="BE4B48"/>
              </a:solidFill>
              <a:round/>
            </a:ln>
          </c:spPr>
          <c:marker>
            <c:symbol val="circle"/>
            <c:size val="5"/>
            <c:spPr>
              <a:solidFill>
                <a:srgbClr val="BE4B48"/>
              </a:solidFill>
            </c:spPr>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Podsumowanie!$D$29:$D$36</c:f>
              <c:strCache>
                <c:ptCount val="8"/>
                <c:pt idx="0">
                  <c:v>2023</c:v>
                </c:pt>
                <c:pt idx="1">
                  <c:v>2024</c:v>
                </c:pt>
                <c:pt idx="2">
                  <c:v>2025</c:v>
                </c:pt>
                <c:pt idx="3">
                  <c:v>2026</c:v>
                </c:pt>
                <c:pt idx="4">
                  <c:v>2027</c:v>
                </c:pt>
                <c:pt idx="5">
                  <c:v>2028</c:v>
                </c:pt>
                <c:pt idx="6">
                  <c:v>2029</c:v>
                </c:pt>
                <c:pt idx="7">
                  <c:v>2030</c:v>
                </c:pt>
              </c:strCache>
            </c:strRef>
          </c:cat>
          <c:val>
            <c:numRef>
              <c:f>Podsumowanie!$F$29:$F$36</c:f>
              <c:numCache>
                <c:formatCode>0.0%;\(0.0%\);\-</c:formatCode>
                <c:ptCount val="8"/>
                <c:pt idx="0">
                  <c:v>0.274218104452266</c:v>
                </c:pt>
                <c:pt idx="1">
                  <c:v>0.321097772114577</c:v>
                </c:pt>
                <c:pt idx="2">
                  <c:v>0.3203263859238</c:v>
                </c:pt>
                <c:pt idx="3">
                  <c:v>0.31</c:v>
                </c:pt>
                <c:pt idx="4">
                  <c:v>0.3</c:v>
                </c:pt>
                <c:pt idx="5">
                  <c:v>0.29</c:v>
                </c:pt>
                <c:pt idx="6">
                  <c:v>0.29</c:v>
                </c:pt>
                <c:pt idx="7">
                  <c:v>0.29</c:v>
                </c:pt>
              </c:numCache>
            </c:numRef>
          </c:val>
          <c:smooth val="1"/>
        </c:ser>
        <c:hiLowLines>
          <c:spPr>
            <a:ln w="0">
              <a:noFill/>
            </a:ln>
          </c:spPr>
        </c:hiLowLines>
        <c:marker val="1"/>
        <c:axId val="25786260"/>
        <c:axId val="60127864"/>
      </c:lineChart>
      <c:catAx>
        <c:axId val="5143864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941635"/>
        <c:crosses val="autoZero"/>
        <c:auto val="1"/>
        <c:lblAlgn val="ctr"/>
        <c:lblOffset val="100"/>
        <c:noMultiLvlLbl val="0"/>
      </c:catAx>
      <c:valAx>
        <c:axId val="95941635"/>
        <c:scaling>
          <c:orientation val="minMax"/>
        </c:scaling>
        <c:delete val="0"/>
        <c:axPos val="l"/>
        <c:title>
          <c:tx>
            <c:rich>
              <a:bodyPr rot="-5400000"/>
              <a:lstStyle/>
              <a:p>
                <a:pPr>
                  <a:defRPr sz="1300" b="0" u="none" strike="noStrike">
                    <a:uFillTx/>
                    <a:latin typeface="Arial"/>
                  </a:defRPr>
                </a:pPr>
                <a:r>
                  <a:rPr sz="1000" b="1" u="none" strike="noStrike">
                    <a:solidFill>
                      <a:srgbClr val="000000"/>
                    </a:solidFill>
                    <a:uFillTx/>
                    <a:latin typeface="Calibri"/>
                  </a:rPr>
                  <a:t>mln USD</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1438647"/>
        <c:crosses val="autoZero"/>
        <c:crossBetween val="between"/>
      </c:valAx>
      <c:catAx>
        <c:axId val="25786260"/>
        <c:scaling>
          <c:orientation val="minMax"/>
        </c:scaling>
        <c:delete val="0"/>
        <c:axPos val="t"/>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0127864"/>
        <c:crosses val="autoZero"/>
        <c:auto val="1"/>
        <c:lblAlgn val="ctr"/>
        <c:lblOffset val="100"/>
        <c:noMultiLvlLbl val="0"/>
      </c:catAx>
      <c:valAx>
        <c:axId val="60127864"/>
        <c:scaling>
          <c:orientation val="minMax"/>
        </c:scaling>
        <c:delete val="0"/>
        <c:axPos val="r"/>
        <c:title>
          <c:tx>
            <c:rich>
              <a:bodyPr rot="-5400000"/>
              <a:lstStyle/>
              <a:p>
                <a:pPr>
                  <a:defRPr sz="1300" b="0" u="none" strike="noStrike">
                    <a:uFillTx/>
                    <a:latin typeface="Arial"/>
                  </a:defRPr>
                </a:pPr>
                <a:r>
                  <a:rPr sz="1000" b="1" u="none" strike="noStrike">
                    <a:solidFill>
                      <a:srgbClr val="000000"/>
                    </a:solidFill>
                    <a:uFillTx/>
                    <a:latin typeface="Calibri"/>
                  </a:rPr>
                  <a:t>Marża operacyjna</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786260"/>
        <c:crosses val="max"/>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Wolne przepływy pieniężne (FCF) w prognozie, mln USD</a:t>
            </a:r>
          </a:p>
        </c:rich>
      </c:tx>
      <c:overlay val="0"/>
      <c:spPr>
        <a:noFill/>
        <a:ln w="0">
          <a:noFill/>
        </a:ln>
      </c:spPr>
    </c:title>
    <c:autoTitleDeleted val="0"/>
    <c:plotArea>
      <c:barChart>
        <c:barDir val="col"/>
        <c:grouping val="clustered"/>
        <c:varyColors val="0"/>
        <c:ser>
          <c:idx val="0"/>
          <c:order val="0"/>
          <c:spPr>
            <a:solidFill>
              <a:srgbClr val="1F3864"/>
            </a:solidFill>
            <a:ln w="12600">
              <a:noFill/>
            </a:ln>
          </c:spPr>
          <c:invertIfNegative val="0"/>
          <c:dLbls>
            <c:numFmt formatCode="#,##0" sourceLinked="1"/>
            <c:txPr>
              <a:bodyPr wrap="square"/>
              <a:lstStyle/>
              <a:p>
                <a:pPr>
                  <a:defRPr sz="1000" b="0" u="none" strike="noStrike">
                    <a:solidFill>
                      <a:srgbClr val="000000"/>
                    </a:solidFill>
                    <a:uFillTx/>
                    <a:latin typeface="Calibri"/>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Podsumowanie!$D$32:$D$36</c:f>
              <c:strCache>
                <c:ptCount val="5"/>
                <c:pt idx="0">
                  <c:v>2026</c:v>
                </c:pt>
                <c:pt idx="1">
                  <c:v>2027</c:v>
                </c:pt>
                <c:pt idx="2">
                  <c:v>2028</c:v>
                </c:pt>
                <c:pt idx="3">
                  <c:v>2029</c:v>
                </c:pt>
                <c:pt idx="4">
                  <c:v>2030</c:v>
                </c:pt>
              </c:strCache>
            </c:strRef>
          </c:cat>
          <c:val>
            <c:numRef>
              <c:f>Podsumowanie!$G$32:$G$36</c:f>
              <c:numCache>
                <c:formatCode>#,##0;\(#,##0\);\-</c:formatCode>
                <c:ptCount val="5"/>
                <c:pt idx="0">
                  <c:v>-10424.590008</c:v>
                </c:pt>
                <c:pt idx="1">
                  <c:v>4629.0690432</c:v>
                </c:pt>
                <c:pt idx="2">
                  <c:v>34342.548890496</c:v>
                </c:pt>
                <c:pt idx="3">
                  <c:v>79862.5507609037</c:v>
                </c:pt>
                <c:pt idx="4">
                  <c:v>110562.27742754</c:v>
                </c:pt>
              </c:numCache>
            </c:numRef>
          </c:val>
        </c:ser>
        <c:gapWidth val="150"/>
        <c:overlap val="0"/>
        <c:axId val="80424534"/>
        <c:axId val="47992517"/>
      </c:barChart>
      <c:catAx>
        <c:axId val="80424534"/>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sz="1000" b="0" u="none" strike="noStrike">
                <a:solidFill>
                  <a:srgbClr val="000000"/>
                </a:solidFill>
                <a:uFillTx/>
                <a:latin typeface="Calibri"/>
              </a:defRPr>
            </a:pPr>
          </a:p>
        </c:txPr>
        <c:crossAx val="47992517"/>
        <c:crosses val="autoZero"/>
        <c:auto val="1"/>
        <c:lblAlgn val="ctr"/>
        <c:lblOffset val="100"/>
        <c:noMultiLvlLbl val="0"/>
      </c:catAx>
      <c:valAx>
        <c:axId val="47992517"/>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0424534"/>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Od wartości firmy do wartości kapitału własnego (mln USD)</a:t>
            </a:r>
          </a:p>
        </c:rich>
      </c:tx>
      <c:overlay val="0"/>
      <c:spPr>
        <a:noFill/>
        <a:ln w="0">
          <a:noFill/>
        </a:ln>
      </c:spPr>
    </c:title>
    <c:autoTitleDeleted val="0"/>
    <c:plotArea>
      <c:barChart>
        <c:barDir val="col"/>
        <c:grouping val="stacked"/>
        <c:varyColors val="0"/>
        <c:ser>
          <c:idx val="0"/>
          <c:order val="0"/>
          <c:spPr>
            <a:no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Podsumowanie!$D$40:$D$45</c:f>
              <c:strCache>
                <c:ptCount val="6"/>
                <c:pt idx="0">
                  <c:v>PV FCF 2026-2030</c:v>
                </c:pt>
                <c:pt idx="1">
                  <c:v>PV wartości rezydualnej</c:v>
                </c:pt>
                <c:pt idx="2">
                  <c:v>Wartość firmy</c:v>
                </c:pt>
                <c:pt idx="3">
                  <c:v>+ Gotówka i papiery</c:v>
                </c:pt>
                <c:pt idx="4">
                  <c:v>- Dług</c:v>
                </c:pt>
                <c:pt idx="5">
                  <c:v>Kapitał własny</c:v>
                </c:pt>
              </c:strCache>
            </c:strRef>
          </c:cat>
          <c:val>
            <c:numRef>
              <c:f>Podsumowanie!$E$40:$E$45</c:f>
              <c:numCache>
                <c:formatCode>#,##0;\(#,##0\);\-</c:formatCode>
                <c:ptCount val="6"/>
                <c:pt idx="0">
                  <c:v>0</c:v>
                </c:pt>
                <c:pt idx="1">
                  <c:v>139924.778319092</c:v>
                </c:pt>
                <c:pt idx="2">
                  <c:v>0</c:v>
                </c:pt>
                <c:pt idx="3">
                  <c:v>1257523.73596739</c:v>
                </c:pt>
                <c:pt idx="4">
                  <c:v>1337819.73596739</c:v>
                </c:pt>
                <c:pt idx="5">
                  <c:v>0</c:v>
                </c:pt>
              </c:numCache>
            </c:numRef>
          </c:val>
        </c:ser>
        <c:ser>
          <c:idx val="1"/>
          <c:order val="1"/>
          <c:spPr>
            <a:solidFill>
              <a:srgbClr val="8EA9DB"/>
            </a:solidFill>
            <a:ln w="12600">
              <a:noFill/>
            </a:ln>
          </c:spPr>
          <c:invertIfNegative val="0"/>
          <c:dLbls>
            <c:numFmt formatCode="#,##0" sourceLinked="1"/>
            <c:txPr>
              <a:bodyPr wrap="square"/>
              <a:lstStyle/>
              <a:p>
                <a:pPr>
                  <a:defRPr sz="1000" b="0" u="none" strike="noStrike">
                    <a:solidFill>
                      <a:srgbClr val="000000"/>
                    </a:solidFill>
                    <a:uFillTx/>
                    <a:latin typeface="Calibri"/>
                  </a:defRPr>
                </a:pPr>
              </a:p>
            </c:txPr>
            <c:dLblPos val="ct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Podsumowanie!$D$40:$D$45</c:f>
              <c:strCache>
                <c:ptCount val="6"/>
                <c:pt idx="0">
                  <c:v>PV FCF 2026-2030</c:v>
                </c:pt>
                <c:pt idx="1">
                  <c:v>PV wartości rezydualnej</c:v>
                </c:pt>
                <c:pt idx="2">
                  <c:v>Wartość firmy</c:v>
                </c:pt>
                <c:pt idx="3">
                  <c:v>+ Gotówka i papiery</c:v>
                </c:pt>
                <c:pt idx="4">
                  <c:v>- Dług</c:v>
                </c:pt>
                <c:pt idx="5">
                  <c:v>Kapitał własny</c:v>
                </c:pt>
              </c:strCache>
            </c:strRef>
          </c:cat>
          <c:val>
            <c:numRef>
              <c:f>Podsumowanie!$F$40:$F$45</c:f>
              <c:numCache>
                <c:formatCode>#,##0;\(#,##0\);\-</c:formatCode>
                <c:ptCount val="6"/>
                <c:pt idx="0">
                  <c:v>139924.778319092</c:v>
                </c:pt>
                <c:pt idx="1">
                  <c:v>1117598.9576483</c:v>
                </c:pt>
                <c:pt idx="2">
                  <c:v>1257523.73596739</c:v>
                </c:pt>
                <c:pt idx="3">
                  <c:v>126843</c:v>
                </c:pt>
                <c:pt idx="4">
                  <c:v>46547</c:v>
                </c:pt>
                <c:pt idx="5">
                  <c:v>1337819.73596739</c:v>
                </c:pt>
              </c:numCache>
            </c:numRef>
          </c:val>
        </c:ser>
        <c:gapWidth val="150"/>
        <c:overlap val="100"/>
        <c:axId val="57148379"/>
        <c:axId val="19224785"/>
      </c:barChart>
      <c:catAx>
        <c:axId val="5714837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224785"/>
        <c:crosses val="autoZero"/>
        <c:auto val="1"/>
        <c:lblAlgn val="ctr"/>
        <c:lblOffset val="100"/>
        <c:noMultiLvlLbl val="0"/>
      </c:catAx>
      <c:valAx>
        <c:axId val="19224785"/>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7148379"/>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3</xdr:row>
      <xdr:rowOff>0</xdr:rowOff>
    </xdr:from>
    <xdr:to>
      <xdr:col>7</xdr:col>
      <xdr:colOff>559080</xdr:colOff>
      <xdr:row>19</xdr:row>
      <xdr:rowOff>11520</xdr:rowOff>
    </xdr:to>
    <xdr:graphicFrame>
      <xdr:nvGraphicFramePr>
        <xdr:cNvPr id="1" name="Chart 1"/>
        <xdr:cNvGraphicFramePr/>
      </xdr:nvGraphicFramePr>
      <xdr:xfrm>
        <a:off x="4440600" y="601200"/>
        <a:ext cx="647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48</xdr:row>
      <xdr:rowOff>0</xdr:rowOff>
    </xdr:from>
    <xdr:to>
      <xdr:col>3</xdr:col>
      <xdr:colOff>239040</xdr:colOff>
      <xdr:row>64</xdr:row>
      <xdr:rowOff>11520</xdr:rowOff>
    </xdr:to>
    <xdr:graphicFrame>
      <xdr:nvGraphicFramePr>
        <xdr:cNvPr id="2" name="Chart 2"/>
        <xdr:cNvGraphicFramePr/>
      </xdr:nvGraphicFramePr>
      <xdr:xfrm>
        <a:off x="0" y="9554760"/>
        <a:ext cx="4679640" cy="30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0</xdr:colOff>
      <xdr:row>48</xdr:row>
      <xdr:rowOff>0</xdr:rowOff>
    </xdr:from>
    <xdr:to>
      <xdr:col>11</xdr:col>
      <xdr:colOff>321480</xdr:colOff>
      <xdr:row>64</xdr:row>
      <xdr:rowOff>11520</xdr:rowOff>
    </xdr:to>
    <xdr:graphicFrame>
      <xdr:nvGraphicFramePr>
        <xdr:cNvPr id="3" name="Chart 3"/>
        <xdr:cNvGraphicFramePr/>
      </xdr:nvGraphicFramePr>
      <xdr:xfrm>
        <a:off x="6555240" y="9554760"/>
        <a:ext cx="6479640" cy="305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3"/>
    <col collapsed="false" customWidth="true" hidden="false" outlineLevel="0" max="4" min="4" style="0" width="30"/>
    <col collapsed="false" customWidth="true" hidden="false" outlineLevel="0" max="7" min="5" style="0" width="18"/>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row>
    <row r="5" customFormat="false" ht="15" hidden="false" customHeight="false" outlineLevel="0" collapsed="false">
      <c r="A5" s="4" t="s">
        <v>4</v>
      </c>
      <c r="B5" s="5" t="n">
        <f aca="false">DCF!$B$33</f>
        <v>110.59103380734</v>
      </c>
    </row>
    <row r="6" customFormat="false" ht="15" hidden="false" customHeight="false" outlineLevel="0" collapsed="false">
      <c r="A6" s="4" t="s">
        <v>5</v>
      </c>
      <c r="B6" s="6" t="n">
        <f aca="false">Założenia!$B$20</f>
        <v>336.91</v>
      </c>
    </row>
    <row r="7" customFormat="false" ht="15" hidden="false" customHeight="false" outlineLevel="0" collapsed="false">
      <c r="A7" s="4" t="s">
        <v>6</v>
      </c>
      <c r="B7" s="7" t="n">
        <f aca="false">B5/B6-1</f>
        <v>-0.671749031470304</v>
      </c>
    </row>
    <row r="8" customFormat="false" ht="15" hidden="false" customHeight="false" outlineLevel="0" collapsed="false">
      <c r="A8" s="8" t="s">
        <v>7</v>
      </c>
      <c r="B8" s="9" t="n">
        <f aca="false">Założenia!$B$29</f>
        <v>0.106</v>
      </c>
    </row>
    <row r="9" customFormat="false" ht="15" hidden="false" customHeight="false" outlineLevel="0" collapsed="false">
      <c r="A9" s="8" t="s">
        <v>8</v>
      </c>
      <c r="B9" s="9" t="n">
        <f aca="false">Założenia!$B$18</f>
        <v>0.03</v>
      </c>
    </row>
    <row r="10" customFormat="false" ht="15" hidden="false" customHeight="false" outlineLevel="0" collapsed="false">
      <c r="A10" s="8" t="s">
        <v>9</v>
      </c>
      <c r="B10" s="10" t="n">
        <f aca="false">DCF!$B$28</f>
        <v>1257523.73596739</v>
      </c>
    </row>
    <row r="11" customFormat="false" ht="15" hidden="false" customHeight="false" outlineLevel="0" collapsed="false">
      <c r="A11" s="8" t="s">
        <v>10</v>
      </c>
      <c r="B11" s="10" t="n">
        <f aca="false">DCF!$B$31</f>
        <v>1337819.73596739</v>
      </c>
    </row>
    <row r="12" customFormat="false" ht="15" hidden="false" customHeight="false" outlineLevel="0" collapsed="false">
      <c r="A12" s="8" t="s">
        <v>11</v>
      </c>
      <c r="B12" s="9" t="n">
        <f aca="false">DCF!$B$34</f>
        <v>0.888729910762718</v>
      </c>
    </row>
    <row r="14" customFormat="false" ht="15" hidden="false" customHeight="false" outlineLevel="0" collapsed="false">
      <c r="A14" s="3" t="s">
        <v>12</v>
      </c>
      <c r="B14" s="3" t="s">
        <v>3</v>
      </c>
    </row>
    <row r="15" customFormat="false" ht="15" hidden="false" customHeight="false" outlineLevel="0" collapsed="false">
      <c r="A15" s="8" t="s">
        <v>13</v>
      </c>
      <c r="B15" s="9" t="n">
        <f aca="false">Założenia!$B$5</f>
        <v>0.14</v>
      </c>
    </row>
    <row r="16" customFormat="false" ht="15" hidden="false" customHeight="false" outlineLevel="0" collapsed="false">
      <c r="A16" s="8" t="s">
        <v>14</v>
      </c>
      <c r="B16" s="9" t="n">
        <f aca="false">Założenia!$F$5</f>
        <v>0.06</v>
      </c>
    </row>
    <row r="17" customFormat="false" ht="15" hidden="false" customHeight="false" outlineLevel="0" collapsed="false">
      <c r="A17" s="8" t="s">
        <v>15</v>
      </c>
      <c r="B17" s="9" t="n">
        <f aca="false">Założenia!$B$7</f>
        <v>0.31</v>
      </c>
    </row>
    <row r="18" customFormat="false" ht="15" hidden="false" customHeight="false" outlineLevel="0" collapsed="false">
      <c r="A18" s="8" t="s">
        <v>16</v>
      </c>
      <c r="B18" s="9" t="n">
        <f aca="false">Założenia!$G$7</f>
        <v>0.29</v>
      </c>
    </row>
    <row r="19" customFormat="false" ht="15" hidden="false" customHeight="false" outlineLevel="0" collapsed="false">
      <c r="A19" s="8" t="s">
        <v>17</v>
      </c>
      <c r="B19" s="9" t="n">
        <f aca="false">Założenia!$B$9</f>
        <v>0.35</v>
      </c>
    </row>
    <row r="20" customFormat="false" ht="15" hidden="false" customHeight="false" outlineLevel="0" collapsed="false">
      <c r="A20" s="8" t="s">
        <v>18</v>
      </c>
      <c r="B20" s="9" t="n">
        <f aca="false">Założenia!$G$9</f>
        <v>0.14</v>
      </c>
    </row>
    <row r="21" customFormat="false" ht="15" hidden="false" customHeight="false" outlineLevel="0" collapsed="false">
      <c r="A21" s="8" t="s">
        <v>19</v>
      </c>
      <c r="B21" s="9" t="n">
        <f aca="false">Założenia!$G$11</f>
        <v>0.11</v>
      </c>
    </row>
    <row r="22" customFormat="false" ht="15" hidden="false" customHeight="false" outlineLevel="0" collapsed="false">
      <c r="A22" s="8" t="s">
        <v>20</v>
      </c>
      <c r="B22" s="9" t="n">
        <f aca="false">Założenia!$B$15</f>
        <v>0.17</v>
      </c>
    </row>
    <row r="23" customFormat="false" ht="15" hidden="false" customHeight="false" outlineLevel="0" collapsed="false">
      <c r="A23" s="8" t="s">
        <v>21</v>
      </c>
      <c r="B23" s="9" t="n">
        <f aca="false">Założenia!$B$19</f>
        <v>0.051</v>
      </c>
    </row>
    <row r="24" customFormat="false" ht="15" hidden="false" customHeight="false" outlineLevel="0" collapsed="false">
      <c r="A24" s="8" t="s">
        <v>22</v>
      </c>
      <c r="B24" s="11" t="n">
        <f aca="false">Założenia!$B$16</f>
        <v>1.1</v>
      </c>
    </row>
    <row r="25" customFormat="false" ht="15" hidden="false" customHeight="false" outlineLevel="0" collapsed="false">
      <c r="A25" s="8" t="s">
        <v>23</v>
      </c>
      <c r="B25" s="9" t="n">
        <f aca="false">Założenia!$B$17</f>
        <v>0.05</v>
      </c>
    </row>
    <row r="27" customFormat="false" ht="15" hidden="false" customHeight="false" outlineLevel="0" collapsed="false">
      <c r="D27" s="4" t="s">
        <v>24</v>
      </c>
    </row>
    <row r="28" customFormat="false" ht="30" hidden="false" customHeight="true" outlineLevel="0" collapsed="false">
      <c r="D28" s="3" t="s">
        <v>25</v>
      </c>
      <c r="E28" s="3" t="s">
        <v>26</v>
      </c>
      <c r="F28" s="3" t="s">
        <v>27</v>
      </c>
      <c r="G28" s="3" t="s">
        <v>28</v>
      </c>
    </row>
    <row r="29" customFormat="false" ht="15" hidden="false" customHeight="false" outlineLevel="0" collapsed="false">
      <c r="D29" s="0" t="s">
        <v>29</v>
      </c>
      <c r="E29" s="10" t="n">
        <f aca="false">'Dane historyczne'!$B$5</f>
        <v>307394</v>
      </c>
      <c r="F29" s="9" t="n">
        <f aca="false">'Dane historyczne'!$B$7</f>
        <v>0.274218104452266</v>
      </c>
    </row>
    <row r="30" customFormat="false" ht="15" hidden="false" customHeight="false" outlineLevel="0" collapsed="false">
      <c r="D30" s="0" t="s">
        <v>30</v>
      </c>
      <c r="E30" s="10" t="n">
        <f aca="false">'Dane historyczne'!$C$5</f>
        <v>350018</v>
      </c>
      <c r="F30" s="9" t="n">
        <f aca="false">'Dane historyczne'!$C$7</f>
        <v>0.321097772114577</v>
      </c>
    </row>
    <row r="31" customFormat="false" ht="15" hidden="false" customHeight="false" outlineLevel="0" collapsed="false">
      <c r="D31" s="0" t="s">
        <v>31</v>
      </c>
      <c r="E31" s="10" t="n">
        <f aca="false">'Dane historyczne'!$D$5</f>
        <v>402836</v>
      </c>
      <c r="F31" s="9" t="n">
        <f aca="false">'Dane historyczne'!$D$7</f>
        <v>0.3203263859238</v>
      </c>
    </row>
    <row r="32" customFormat="false" ht="15" hidden="false" customHeight="false" outlineLevel="0" collapsed="false">
      <c r="D32" s="0" t="s">
        <v>32</v>
      </c>
      <c r="E32" s="10" t="n">
        <f aca="false">DCF!$C$6</f>
        <v>459233.04</v>
      </c>
      <c r="F32" s="9" t="n">
        <f aca="false">DCF!$C$8</f>
        <v>0.31</v>
      </c>
      <c r="G32" s="10" t="n">
        <f aca="false">DCF!$C$17</f>
        <v>-10424.590008</v>
      </c>
    </row>
    <row r="33" customFormat="false" ht="15" hidden="false" customHeight="false" outlineLevel="0" collapsed="false">
      <c r="D33" s="0" t="s">
        <v>33</v>
      </c>
      <c r="E33" s="10" t="n">
        <f aca="false">DCF!$D$6</f>
        <v>514341.0048</v>
      </c>
      <c r="F33" s="9" t="n">
        <f aca="false">DCF!$D$8</f>
        <v>0.3</v>
      </c>
      <c r="G33" s="10" t="n">
        <f aca="false">DCF!$D$17</f>
        <v>4629.0690432</v>
      </c>
    </row>
    <row r="34" customFormat="false" ht="15" hidden="false" customHeight="false" outlineLevel="0" collapsed="false">
      <c r="D34" s="0" t="s">
        <v>34</v>
      </c>
      <c r="E34" s="10" t="n">
        <f aca="false">DCF!$E$6</f>
        <v>565775.10528</v>
      </c>
      <c r="F34" s="9" t="n">
        <f aca="false">DCF!$E$8</f>
        <v>0.29</v>
      </c>
      <c r="G34" s="10" t="n">
        <f aca="false">DCF!$E$17</f>
        <v>34342.548890496</v>
      </c>
    </row>
    <row r="35" customFormat="false" ht="15" hidden="false" customHeight="false" outlineLevel="0" collapsed="false">
      <c r="D35" s="0" t="s">
        <v>35</v>
      </c>
      <c r="E35" s="10" t="n">
        <f aca="false">DCF!$F$6</f>
        <v>611037.1137024</v>
      </c>
      <c r="F35" s="9" t="n">
        <f aca="false">DCF!$F$8</f>
        <v>0.29</v>
      </c>
      <c r="G35" s="10" t="n">
        <f aca="false">DCF!$F$17</f>
        <v>79862.5507609037</v>
      </c>
    </row>
    <row r="36" customFormat="false" ht="15" hidden="false" customHeight="false" outlineLevel="0" collapsed="false">
      <c r="D36" s="0" t="s">
        <v>36</v>
      </c>
      <c r="E36" s="10" t="n">
        <f aca="false">DCF!$G$6</f>
        <v>647699.340524544</v>
      </c>
      <c r="F36" s="9" t="n">
        <f aca="false">DCF!$G$8</f>
        <v>0.29</v>
      </c>
      <c r="G36" s="10" t="n">
        <f aca="false">DCF!$G$17</f>
        <v>110562.27742754</v>
      </c>
    </row>
    <row r="39" customFormat="false" ht="30" hidden="false" customHeight="true" outlineLevel="0" collapsed="false">
      <c r="D39" s="3" t="s">
        <v>37</v>
      </c>
      <c r="E39" s="3" t="s">
        <v>38</v>
      </c>
      <c r="F39" s="3" t="s">
        <v>39</v>
      </c>
    </row>
    <row r="40" customFormat="false" ht="15" hidden="false" customHeight="false" outlineLevel="0" collapsed="false">
      <c r="D40" s="0" t="s">
        <v>40</v>
      </c>
      <c r="E40" s="12" t="n">
        <f aca="false">0</f>
        <v>0</v>
      </c>
      <c r="F40" s="10" t="n">
        <f aca="false">DCF!$B$22</f>
        <v>139924.778319092</v>
      </c>
    </row>
    <row r="41" customFormat="false" ht="15" hidden="false" customHeight="false" outlineLevel="0" collapsed="false">
      <c r="D41" s="0" t="s">
        <v>41</v>
      </c>
      <c r="E41" s="12" t="n">
        <f aca="false">MIN(0,DCF!$B$22)+MAX(0,DCF!$B$22)</f>
        <v>139924.778319092</v>
      </c>
      <c r="F41" s="10" t="n">
        <f aca="false">DCF!$B$27</f>
        <v>1117598.9576483</v>
      </c>
    </row>
    <row r="42" customFormat="false" ht="15" hidden="false" customHeight="false" outlineLevel="0" collapsed="false">
      <c r="D42" s="0" t="s">
        <v>42</v>
      </c>
      <c r="E42" s="12" t="n">
        <f aca="false">0</f>
        <v>0</v>
      </c>
      <c r="F42" s="10" t="n">
        <f aca="false">DCF!$B$28</f>
        <v>1257523.73596739</v>
      </c>
    </row>
    <row r="43" customFormat="false" ht="15" hidden="false" customHeight="false" outlineLevel="0" collapsed="false">
      <c r="D43" s="0" t="s">
        <v>43</v>
      </c>
      <c r="E43" s="12" t="n">
        <f aca="false">DCF!$B$28</f>
        <v>1257523.73596739</v>
      </c>
      <c r="F43" s="10" t="n">
        <f aca="false">DCF!$B$29</f>
        <v>126843</v>
      </c>
    </row>
    <row r="44" customFormat="false" ht="15" hidden="false" customHeight="false" outlineLevel="0" collapsed="false">
      <c r="D44" s="0" t="s">
        <v>44</v>
      </c>
      <c r="E44" s="12" t="n">
        <f aca="false">DCF!$B$28+DCF!$B$29+DCF!$B$30</f>
        <v>1337819.73596739</v>
      </c>
      <c r="F44" s="10" t="n">
        <f aca="false">-DCF!$B$30</f>
        <v>46547</v>
      </c>
    </row>
    <row r="45" customFormat="false" ht="15" hidden="false" customHeight="false" outlineLevel="0" collapsed="false">
      <c r="D45" s="0" t="s">
        <v>45</v>
      </c>
      <c r="E45" s="12" t="n">
        <f aca="false">0</f>
        <v>0</v>
      </c>
      <c r="F45" s="10" t="n">
        <f aca="false">DCF!$B$31</f>
        <v>1337819.73596739</v>
      </c>
    </row>
    <row r="47" customFormat="false" ht="15" hidden="false" customHeight="false" outlineLevel="0" collapsed="false">
      <c r="D47" s="8" t="s">
        <v>46</v>
      </c>
      <c r="G47" s="13" t="n">
        <f aca="false">DCF!$B$33</f>
        <v>110.59103380734</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34375" defaultRowHeight="15" customHeight="false" zeroHeight="false" outlineLevelRow="0" outlineLevelCol="0"/>
  <cols>
    <col collapsed="false" customWidth="true" hidden="false" outlineLevel="0" max="1" min="1" style="0" width="100"/>
    <col collapsed="false" customWidth="true" hidden="false" outlineLevel="0" max="2" min="2" style="0" width="17"/>
    <col collapsed="false" customWidth="true" hidden="false" outlineLevel="0" max="7" min="3" style="0" width="14"/>
  </cols>
  <sheetData>
    <row r="1" customFormat="false" ht="17.35" hidden="false" customHeight="false" outlineLevel="0" collapsed="false">
      <c r="A1" s="1" t="s">
        <v>47</v>
      </c>
    </row>
    <row r="2" customFormat="false" ht="15" hidden="false" customHeight="false" outlineLevel="0" collapsed="false">
      <c r="A2" s="2" t="s">
        <v>48</v>
      </c>
    </row>
    <row r="4" customFormat="false" ht="15" hidden="false" customHeight="false" outlineLevel="0" collapsed="false">
      <c r="A4" s="3" t="s">
        <v>49</v>
      </c>
      <c r="B4" s="3" t="s">
        <v>29</v>
      </c>
      <c r="C4" s="3" t="s">
        <v>30</v>
      </c>
      <c r="D4" s="3" t="s">
        <v>31</v>
      </c>
      <c r="E4" s="3" t="s">
        <v>50</v>
      </c>
      <c r="F4" s="3" t="s">
        <v>51</v>
      </c>
      <c r="G4" s="3" t="s">
        <v>52</v>
      </c>
    </row>
    <row r="5" customFormat="false" ht="15" hidden="false" customHeight="false" outlineLevel="0" collapsed="false">
      <c r="A5" s="8" t="s">
        <v>53</v>
      </c>
      <c r="B5" s="14" t="n">
        <v>307394</v>
      </c>
      <c r="C5" s="14" t="n">
        <v>350018</v>
      </c>
      <c r="D5" s="14" t="n">
        <v>402836</v>
      </c>
      <c r="E5" s="15" t="s">
        <v>54</v>
      </c>
      <c r="F5" s="15" t="s">
        <v>55</v>
      </c>
      <c r="G5" s="15" t="s">
        <v>56</v>
      </c>
    </row>
    <row r="6" customFormat="false" ht="15" hidden="false" customHeight="false" outlineLevel="0" collapsed="false">
      <c r="A6" s="8" t="s">
        <v>57</v>
      </c>
      <c r="B6" s="14" t="n">
        <v>84293</v>
      </c>
      <c r="C6" s="14" t="n">
        <v>112390</v>
      </c>
      <c r="D6" s="14" t="n">
        <v>129039</v>
      </c>
      <c r="E6" s="15" t="s">
        <v>58</v>
      </c>
      <c r="F6" s="15" t="s">
        <v>59</v>
      </c>
      <c r="G6" s="15" t="s">
        <v>60</v>
      </c>
    </row>
    <row r="7" customFormat="false" ht="15" hidden="false" customHeight="false" outlineLevel="0" collapsed="false">
      <c r="A7" s="8" t="s">
        <v>27</v>
      </c>
      <c r="B7" s="16" t="n">
        <f aca="false">IF(B5=0,0,B6/B5)</f>
        <v>0.274218104452266</v>
      </c>
      <c r="C7" s="16" t="n">
        <f aca="false">IF(C5=0,0,C6/C5)</f>
        <v>0.321097772114577</v>
      </c>
      <c r="D7" s="16" t="n">
        <f aca="false">IF(D5=0,0,D6/D5)</f>
        <v>0.3203263859238</v>
      </c>
    </row>
    <row r="8" customFormat="false" ht="15" hidden="false" customHeight="false" outlineLevel="0" collapsed="false">
      <c r="A8" s="8" t="s">
        <v>61</v>
      </c>
      <c r="C8" s="16" t="n">
        <f aca="false">IF(B5=0,0,C5/B5-1)</f>
        <v>0.138662433229016</v>
      </c>
      <c r="D8" s="16" t="n">
        <f aca="false">IF(C5=0,0,D5/C5-1)</f>
        <v>0.150900810815444</v>
      </c>
    </row>
    <row r="10" customFormat="false" ht="15" hidden="false" customHeight="false" outlineLevel="0" collapsed="false">
      <c r="A10" s="3" t="s">
        <v>62</v>
      </c>
      <c r="B10" s="3" t="s">
        <v>3</v>
      </c>
      <c r="C10" s="3" t="s">
        <v>63</v>
      </c>
      <c r="D10" s="3" t="s">
        <v>64</v>
      </c>
      <c r="E10" s="3" t="s">
        <v>65</v>
      </c>
    </row>
    <row r="11" customFormat="false" ht="15" hidden="false" customHeight="false" outlineLevel="0" collapsed="false">
      <c r="A11" s="8" t="s">
        <v>66</v>
      </c>
      <c r="B11" s="14" t="n">
        <v>132170</v>
      </c>
      <c r="C11" s="8" t="s">
        <v>67</v>
      </c>
      <c r="D11" s="8" t="s">
        <v>31</v>
      </c>
      <c r="E11" s="15" t="s">
        <v>68</v>
      </c>
    </row>
    <row r="12" customFormat="false" ht="15" hidden="false" customHeight="false" outlineLevel="0" collapsed="false">
      <c r="A12" s="8" t="s">
        <v>69</v>
      </c>
      <c r="B12" s="14" t="n">
        <v>21136</v>
      </c>
      <c r="C12" s="8" t="s">
        <v>67</v>
      </c>
      <c r="D12" s="8" t="s">
        <v>31</v>
      </c>
      <c r="E12" s="15" t="s">
        <v>70</v>
      </c>
    </row>
    <row r="13" customFormat="false" ht="15" hidden="false" customHeight="false" outlineLevel="0" collapsed="false">
      <c r="A13" s="8" t="s">
        <v>71</v>
      </c>
      <c r="B13" s="14" t="n">
        <v>-91447</v>
      </c>
      <c r="C13" s="8" t="s">
        <v>67</v>
      </c>
      <c r="D13" s="8" t="s">
        <v>31</v>
      </c>
      <c r="E13" s="15" t="s">
        <v>72</v>
      </c>
    </row>
    <row r="14" customFormat="false" ht="15" hidden="false" customHeight="false" outlineLevel="0" collapsed="false">
      <c r="A14" s="8" t="s">
        <v>73</v>
      </c>
      <c r="B14" s="14" t="n">
        <v>158826</v>
      </c>
      <c r="C14" s="8" t="s">
        <v>67</v>
      </c>
      <c r="D14" s="8" t="s">
        <v>31</v>
      </c>
      <c r="E14" s="15" t="s">
        <v>74</v>
      </c>
    </row>
    <row r="15" customFormat="false" ht="15" hidden="false" customHeight="false" outlineLevel="0" collapsed="false">
      <c r="A15" s="8" t="s">
        <v>75</v>
      </c>
      <c r="B15" s="14" t="n">
        <v>26656</v>
      </c>
      <c r="C15" s="8" t="s">
        <v>67</v>
      </c>
      <c r="D15" s="8" t="s">
        <v>31</v>
      </c>
      <c r="E15" s="15" t="s">
        <v>76</v>
      </c>
    </row>
    <row r="16" customFormat="false" ht="15" hidden="false" customHeight="false" outlineLevel="0" collapsed="false">
      <c r="A16" s="8" t="s">
        <v>77</v>
      </c>
      <c r="B16" s="14" t="n">
        <v>30708</v>
      </c>
      <c r="C16" s="8" t="s">
        <v>67</v>
      </c>
      <c r="D16" s="8" t="s">
        <v>78</v>
      </c>
      <c r="E16" s="15" t="s">
        <v>79</v>
      </c>
    </row>
    <row r="17" customFormat="false" ht="15" hidden="false" customHeight="false" outlineLevel="0" collapsed="false">
      <c r="A17" s="8" t="s">
        <v>80</v>
      </c>
      <c r="B17" s="14" t="n">
        <v>96135</v>
      </c>
      <c r="C17" s="8" t="s">
        <v>67</v>
      </c>
      <c r="D17" s="8" t="s">
        <v>78</v>
      </c>
      <c r="E17" s="15" t="s">
        <v>81</v>
      </c>
    </row>
    <row r="18" customFormat="false" ht="15" hidden="false" customHeight="false" outlineLevel="0" collapsed="false">
      <c r="A18" s="8" t="s">
        <v>82</v>
      </c>
      <c r="B18" s="14" t="n">
        <v>46547</v>
      </c>
      <c r="C18" s="8" t="s">
        <v>67</v>
      </c>
      <c r="D18" s="8" t="s">
        <v>78</v>
      </c>
      <c r="E18" s="15" t="s">
        <v>83</v>
      </c>
    </row>
    <row r="19" customFormat="false" ht="15" hidden="false" customHeight="false" outlineLevel="0" collapsed="false">
      <c r="A19" s="8" t="s">
        <v>84</v>
      </c>
      <c r="B19" s="14" t="n">
        <v>246597</v>
      </c>
      <c r="C19" s="8" t="s">
        <v>67</v>
      </c>
      <c r="D19" s="8" t="s">
        <v>78</v>
      </c>
      <c r="E19" s="15" t="s">
        <v>85</v>
      </c>
    </row>
    <row r="20" customFormat="false" ht="15" hidden="false" customHeight="false" outlineLevel="0" collapsed="false">
      <c r="A20" s="8" t="s">
        <v>84</v>
      </c>
      <c r="B20" s="14" t="n">
        <v>171036</v>
      </c>
      <c r="C20" s="8" t="s">
        <v>67</v>
      </c>
      <c r="D20" s="8" t="s">
        <v>86</v>
      </c>
      <c r="E20" s="15" t="s">
        <v>87</v>
      </c>
    </row>
    <row r="21" customFormat="false" ht="15" hidden="false" customHeight="false" outlineLevel="0" collapsed="false">
      <c r="A21" s="8" t="s">
        <v>88</v>
      </c>
      <c r="B21" s="17" t="n">
        <v>0.168</v>
      </c>
      <c r="C21" s="8" t="s">
        <v>89</v>
      </c>
      <c r="D21" s="8" t="s">
        <v>31</v>
      </c>
      <c r="E21" s="15" t="s">
        <v>90</v>
      </c>
    </row>
    <row r="22" customFormat="false" ht="15" hidden="false" customHeight="false" outlineLevel="0" collapsed="false">
      <c r="A22" s="8" t="s">
        <v>88</v>
      </c>
      <c r="B22" s="17" t="n">
        <v>0.164</v>
      </c>
      <c r="C22" s="8" t="s">
        <v>89</v>
      </c>
      <c r="D22" s="8" t="s">
        <v>30</v>
      </c>
      <c r="E22" s="15" t="s">
        <v>91</v>
      </c>
    </row>
    <row r="23" customFormat="false" ht="15" hidden="false" customHeight="false" outlineLevel="0" collapsed="false">
      <c r="A23" s="8" t="s">
        <v>92</v>
      </c>
      <c r="B23" s="18" t="n">
        <v>5822</v>
      </c>
      <c r="C23" s="8" t="s">
        <v>93</v>
      </c>
      <c r="D23" s="8" t="s">
        <v>94</v>
      </c>
      <c r="E23" s="15" t="s">
        <v>95</v>
      </c>
    </row>
    <row r="24" customFormat="false" ht="15" hidden="false" customHeight="false" outlineLevel="0" collapsed="false">
      <c r="A24" s="8" t="s">
        <v>96</v>
      </c>
      <c r="B24" s="18" t="n">
        <v>837</v>
      </c>
      <c r="C24" s="8" t="s">
        <v>93</v>
      </c>
      <c r="D24" s="8" t="s">
        <v>94</v>
      </c>
      <c r="E24" s="15" t="s">
        <v>97</v>
      </c>
    </row>
    <row r="25" customFormat="false" ht="15" hidden="false" customHeight="false" outlineLevel="0" collapsed="false">
      <c r="A25" s="8" t="s">
        <v>98</v>
      </c>
      <c r="B25" s="18" t="n">
        <v>5438</v>
      </c>
      <c r="C25" s="8" t="s">
        <v>93</v>
      </c>
      <c r="D25" s="8" t="s">
        <v>94</v>
      </c>
      <c r="E25" s="15" t="s">
        <v>99</v>
      </c>
    </row>
    <row r="26" customFormat="false" ht="15" hidden="false" customHeight="false" outlineLevel="0" collapsed="false">
      <c r="A26" s="8" t="s">
        <v>100</v>
      </c>
      <c r="B26" s="14" t="n">
        <v>342721</v>
      </c>
      <c r="C26" s="8" t="s">
        <v>67</v>
      </c>
      <c r="D26" s="8" t="s">
        <v>31</v>
      </c>
      <c r="E26" s="15" t="s">
        <v>101</v>
      </c>
    </row>
    <row r="27" customFormat="false" ht="15" hidden="false" customHeight="false" outlineLevel="0" collapsed="false">
      <c r="A27" s="8" t="s">
        <v>102</v>
      </c>
      <c r="B27" s="14" t="n">
        <v>58705</v>
      </c>
      <c r="C27" s="8" t="s">
        <v>67</v>
      </c>
      <c r="D27" s="8" t="s">
        <v>31</v>
      </c>
      <c r="E27" s="15" t="s">
        <v>103</v>
      </c>
    </row>
    <row r="28" customFormat="false" ht="15" hidden="false" customHeight="false" outlineLevel="0" collapsed="false">
      <c r="A28" s="8" t="s">
        <v>104</v>
      </c>
      <c r="B28" s="14" t="n">
        <v>1537</v>
      </c>
      <c r="C28" s="8" t="s">
        <v>67</v>
      </c>
      <c r="D28" s="8" t="s">
        <v>31</v>
      </c>
      <c r="E28" s="15" t="s">
        <v>105</v>
      </c>
    </row>
    <row r="29" customFormat="false" ht="15" hidden="false" customHeight="false" outlineLevel="0" collapsed="false">
      <c r="A29" s="8" t="s">
        <v>106</v>
      </c>
      <c r="B29" s="14" t="n">
        <v>139404</v>
      </c>
      <c r="C29" s="8" t="s">
        <v>67</v>
      </c>
      <c r="D29" s="8" t="s">
        <v>31</v>
      </c>
      <c r="E29" s="15" t="s">
        <v>107</v>
      </c>
    </row>
    <row r="30" customFormat="false" ht="15" hidden="false" customHeight="false" outlineLevel="0" collapsed="false">
      <c r="A30" s="8" t="s">
        <v>108</v>
      </c>
      <c r="B30" s="14" t="n">
        <v>13910</v>
      </c>
      <c r="C30" s="8" t="s">
        <v>67</v>
      </c>
      <c r="D30" s="8" t="s">
        <v>31</v>
      </c>
      <c r="E30" s="15" t="s">
        <v>109</v>
      </c>
    </row>
    <row r="31" customFormat="false" ht="15" hidden="false" customHeight="false" outlineLevel="0" collapsed="false">
      <c r="A31" s="8" t="s">
        <v>110</v>
      </c>
      <c r="B31" s="14" t="n">
        <v>-7515</v>
      </c>
      <c r="C31" s="8" t="s">
        <v>67</v>
      </c>
      <c r="D31" s="8" t="s">
        <v>31</v>
      </c>
      <c r="E31" s="15" t="s">
        <v>111</v>
      </c>
    </row>
    <row r="32" customFormat="false" ht="15" hidden="false" customHeight="false" outlineLevel="0" collapsed="false">
      <c r="A32" s="8" t="s">
        <v>102</v>
      </c>
      <c r="B32" s="14" t="n">
        <v>43229</v>
      </c>
      <c r="C32" s="8" t="s">
        <v>67</v>
      </c>
      <c r="D32" s="8" t="s">
        <v>30</v>
      </c>
      <c r="E32" s="15" t="s">
        <v>112</v>
      </c>
    </row>
    <row r="33" customFormat="false" ht="15" hidden="false" customHeight="false" outlineLevel="0" collapsed="false">
      <c r="A33" s="8" t="s">
        <v>113</v>
      </c>
      <c r="B33" s="19" t="n">
        <v>15</v>
      </c>
      <c r="C33" s="8" t="s">
        <v>114</v>
      </c>
      <c r="D33" s="8" t="s">
        <v>115</v>
      </c>
      <c r="E33" s="15" t="s">
        <v>116</v>
      </c>
    </row>
    <row r="34" customFormat="false" ht="15" hidden="false" customHeight="false" outlineLevel="0" collapsed="false">
      <c r="A34" s="8" t="s">
        <v>117</v>
      </c>
      <c r="B34" s="20" t="n">
        <v>242.8</v>
      </c>
      <c r="C34" s="8" t="s">
        <v>118</v>
      </c>
      <c r="D34" s="8" t="s">
        <v>78</v>
      </c>
      <c r="E34" s="15" t="s">
        <v>119</v>
      </c>
    </row>
    <row r="35" customFormat="false" ht="15" hidden="false" customHeight="false" outlineLevel="0" collapsed="false">
      <c r="A35" s="8" t="s">
        <v>120</v>
      </c>
      <c r="B35" s="20" t="n">
        <v>16</v>
      </c>
      <c r="C35" s="8" t="s">
        <v>118</v>
      </c>
      <c r="D35" s="8" t="s">
        <v>121</v>
      </c>
      <c r="E35" s="15" t="s">
        <v>122</v>
      </c>
    </row>
    <row r="36" customFormat="false" ht="15" hidden="false" customHeight="false" outlineLevel="0" collapsed="false">
      <c r="A36" s="8" t="s">
        <v>123</v>
      </c>
      <c r="B36" s="20" t="n">
        <v>32</v>
      </c>
      <c r="C36" s="8" t="s">
        <v>118</v>
      </c>
      <c r="D36" s="8" t="s">
        <v>31</v>
      </c>
      <c r="E36" s="15" t="s">
        <v>124</v>
      </c>
    </row>
    <row r="37" customFormat="false" ht="15" hidden="false" customHeight="false" outlineLevel="0" collapsed="false">
      <c r="A37" s="8" t="s">
        <v>125</v>
      </c>
      <c r="B37" s="17" t="n">
        <v>0.7</v>
      </c>
      <c r="C37" s="8" t="s">
        <v>89</v>
      </c>
      <c r="D37" s="8" t="s">
        <v>31</v>
      </c>
      <c r="E37" s="15" t="s">
        <v>126</v>
      </c>
    </row>
    <row r="38" customFormat="false" ht="15" hidden="false" customHeight="false" outlineLevel="0" collapsed="false">
      <c r="A38" s="8" t="s">
        <v>127</v>
      </c>
      <c r="B38" s="21" t="n">
        <v>190820</v>
      </c>
      <c r="C38" s="8" t="s">
        <v>128</v>
      </c>
      <c r="D38" s="8" t="s">
        <v>78</v>
      </c>
      <c r="E38" s="15" t="s">
        <v>129</v>
      </c>
    </row>
    <row r="40" customFormat="false" ht="15" hidden="false" customHeight="false" outlineLevel="0" collapsed="false">
      <c r="A40" s="3" t="s">
        <v>130</v>
      </c>
      <c r="B40" s="3" t="s">
        <v>3</v>
      </c>
      <c r="C40" s="3" t="s">
        <v>63</v>
      </c>
      <c r="D40" s="3" t="s">
        <v>64</v>
      </c>
      <c r="E40" s="3" t="s">
        <v>131</v>
      </c>
    </row>
    <row r="41" customFormat="false" ht="15" hidden="false" customHeight="false" outlineLevel="0" collapsed="false">
      <c r="A41" s="8" t="s">
        <v>132</v>
      </c>
      <c r="B41" s="12" t="n">
        <f aca="false">'Dane historyczne'!$B$16+'Dane historyczne'!$B$17</f>
        <v>126843</v>
      </c>
      <c r="C41" s="8" t="s">
        <v>67</v>
      </c>
      <c r="D41" s="8" t="s">
        <v>78</v>
      </c>
      <c r="E41" s="2" t="s">
        <v>133</v>
      </c>
    </row>
    <row r="42" customFormat="false" ht="15" hidden="false" customHeight="false" outlineLevel="0" collapsed="false">
      <c r="A42" s="8" t="s">
        <v>134</v>
      </c>
      <c r="B42" s="12" t="n">
        <f aca="false">'Dane historyczne'!$B$18</f>
        <v>46547</v>
      </c>
      <c r="C42" s="8" t="s">
        <v>67</v>
      </c>
      <c r="D42" s="8" t="s">
        <v>78</v>
      </c>
      <c r="E42" s="2" t="s">
        <v>83</v>
      </c>
    </row>
    <row r="43" customFormat="false" ht="15" hidden="false" customHeight="false" outlineLevel="0" collapsed="false">
      <c r="A43" s="8" t="s">
        <v>135</v>
      </c>
      <c r="B43" s="22" t="n">
        <f aca="false">'Dane historyczne'!$B$23+'Dane historyczne'!$B$24+'Dane historyczne'!$B$25</f>
        <v>12097</v>
      </c>
      <c r="C43" s="8" t="s">
        <v>93</v>
      </c>
      <c r="D43" s="8" t="s">
        <v>94</v>
      </c>
      <c r="E43" s="2" t="s">
        <v>136</v>
      </c>
    </row>
    <row r="44" customFormat="false" ht="15" hidden="false" customHeight="false" outlineLevel="0" collapsed="false">
      <c r="A44" s="8" t="s">
        <v>137</v>
      </c>
      <c r="B44" s="16" t="n">
        <f aca="false">ABS('Dane historyczne'!$B$13)/'Dane historyczne'!$D$5</f>
        <v>0.227008013186508</v>
      </c>
      <c r="C44" s="8" t="s">
        <v>138</v>
      </c>
      <c r="D44" s="8" t="s">
        <v>31</v>
      </c>
      <c r="E44" s="2" t="s">
        <v>139</v>
      </c>
    </row>
    <row r="45" customFormat="false" ht="15" hidden="false" customHeight="false" outlineLevel="0" collapsed="false">
      <c r="A45" s="8" t="s">
        <v>140</v>
      </c>
      <c r="B45" s="16" t="n">
        <f aca="false">('Dane historyczne'!$B$12)/'Dane historyczne'!$D$5</f>
        <v>0.0524680018667646</v>
      </c>
      <c r="C45" s="8" t="s">
        <v>138</v>
      </c>
      <c r="D45" s="8" t="s">
        <v>31</v>
      </c>
      <c r="E45" s="2" t="s">
        <v>141</v>
      </c>
    </row>
    <row r="46" customFormat="false" ht="15" hidden="false" customHeight="false" outlineLevel="0" collapsed="false">
      <c r="A46" s="8" t="s">
        <v>142</v>
      </c>
      <c r="B46" s="16" t="n">
        <f aca="false">IF('Dane historyczne'!$B$14=0,0,'Dane historyczne'!$B$15/'Dane historyczne'!$B$14)</f>
        <v>0.167831463362422</v>
      </c>
      <c r="C46" s="8" t="s">
        <v>138</v>
      </c>
      <c r="D46" s="8" t="s">
        <v>31</v>
      </c>
      <c r="E46" s="2" t="s">
        <v>143</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cols>
    <col collapsed="false" customWidth="true" hidden="false" outlineLevel="0" max="1" min="1" style="0" width="44"/>
    <col collapsed="false" customWidth="true" hidden="false" outlineLevel="0" max="2" min="2" style="0" width="26"/>
    <col collapsed="false" customWidth="true" hidden="false" outlineLevel="0" max="7" min="3" style="0" width="22"/>
  </cols>
  <sheetData>
    <row r="1" customFormat="false" ht="17.35" hidden="false" customHeight="false" outlineLevel="0" collapsed="false">
      <c r="A1" s="1" t="s">
        <v>144</v>
      </c>
    </row>
    <row r="2" customFormat="false" ht="15" hidden="false" customHeight="false" outlineLevel="0" collapsed="false">
      <c r="A2" s="2" t="s">
        <v>145</v>
      </c>
    </row>
    <row r="4" customFormat="false" ht="15" hidden="false" customHeight="false" outlineLevel="0" collapsed="false">
      <c r="A4" s="3" t="s">
        <v>146</v>
      </c>
      <c r="B4" s="3" t="s">
        <v>32</v>
      </c>
      <c r="C4" s="3" t="s">
        <v>33</v>
      </c>
      <c r="D4" s="3" t="s">
        <v>34</v>
      </c>
      <c r="E4" s="3" t="s">
        <v>35</v>
      </c>
      <c r="F4" s="3" t="s">
        <v>36</v>
      </c>
      <c r="G4" s="3" t="s">
        <v>147</v>
      </c>
    </row>
    <row r="5" customFormat="false" ht="15" hidden="false" customHeight="false" outlineLevel="0" collapsed="false">
      <c r="A5" s="8" t="s">
        <v>61</v>
      </c>
      <c r="B5" s="23" t="n">
        <v>0.14</v>
      </c>
      <c r="C5" s="23" t="n">
        <v>0.12</v>
      </c>
      <c r="D5" s="23" t="n">
        <v>0.1</v>
      </c>
      <c r="E5" s="23" t="n">
        <v>0.08</v>
      </c>
      <c r="F5" s="23" t="n">
        <v>0.06</v>
      </c>
    </row>
    <row r="6" customFormat="false" ht="15" hidden="false" customHeight="false" outlineLevel="0" collapsed="false">
      <c r="A6" s="2" t="s">
        <v>148</v>
      </c>
      <c r="B6" s="15" t="s">
        <v>149</v>
      </c>
      <c r="C6" s="15" t="s">
        <v>150</v>
      </c>
      <c r="D6" s="15" t="s">
        <v>151</v>
      </c>
      <c r="E6" s="15" t="s">
        <v>152</v>
      </c>
      <c r="F6" s="15" t="s">
        <v>153</v>
      </c>
    </row>
    <row r="7" customFormat="false" ht="15" hidden="false" customHeight="false" outlineLevel="0" collapsed="false">
      <c r="A7" s="8" t="s">
        <v>27</v>
      </c>
      <c r="B7" s="23" t="n">
        <v>0.31</v>
      </c>
      <c r="C7" s="23" t="n">
        <v>0.3</v>
      </c>
      <c r="D7" s="23" t="n">
        <v>0.29</v>
      </c>
      <c r="E7" s="23" t="n">
        <v>0.29</v>
      </c>
      <c r="F7" s="23" t="n">
        <v>0.29</v>
      </c>
      <c r="G7" s="23" t="n">
        <v>0.29</v>
      </c>
    </row>
    <row r="8" customFormat="false" ht="15" hidden="false" customHeight="false" outlineLevel="0" collapsed="false">
      <c r="A8" s="2" t="s">
        <v>148</v>
      </c>
      <c r="B8" s="15" t="s">
        <v>154</v>
      </c>
      <c r="C8" s="15" t="s">
        <v>155</v>
      </c>
      <c r="D8" s="15" t="s">
        <v>156</v>
      </c>
      <c r="E8" s="15" t="s">
        <v>157</v>
      </c>
      <c r="F8" s="15" t="s">
        <v>158</v>
      </c>
      <c r="G8" s="15" t="s">
        <v>159</v>
      </c>
    </row>
    <row r="9" customFormat="false" ht="15" hidden="false" customHeight="false" outlineLevel="0" collapsed="false">
      <c r="A9" s="8" t="s">
        <v>137</v>
      </c>
      <c r="B9" s="23" t="n">
        <v>0.35</v>
      </c>
      <c r="C9" s="23" t="n">
        <v>0.33</v>
      </c>
      <c r="D9" s="23" t="n">
        <v>0.28</v>
      </c>
      <c r="E9" s="23" t="n">
        <v>0.22</v>
      </c>
      <c r="F9" s="23" t="n">
        <v>0.18</v>
      </c>
      <c r="G9" s="23" t="n">
        <v>0.14</v>
      </c>
    </row>
    <row r="10" customFormat="false" ht="15" hidden="false" customHeight="false" outlineLevel="0" collapsed="false">
      <c r="A10" s="2" t="s">
        <v>148</v>
      </c>
      <c r="B10" s="15" t="s">
        <v>160</v>
      </c>
      <c r="C10" s="15" t="s">
        <v>161</v>
      </c>
      <c r="D10" s="15" t="s">
        <v>162</v>
      </c>
      <c r="E10" s="15" t="s">
        <v>163</v>
      </c>
      <c r="F10" s="15" t="s">
        <v>164</v>
      </c>
      <c r="G10" s="15" t="s">
        <v>165</v>
      </c>
    </row>
    <row r="11" customFormat="false" ht="15" hidden="false" customHeight="false" outlineLevel="0" collapsed="false">
      <c r="A11" s="8" t="s">
        <v>140</v>
      </c>
      <c r="B11" s="23" t="n">
        <v>0.07</v>
      </c>
      <c r="C11" s="23" t="n">
        <v>0.09</v>
      </c>
      <c r="D11" s="23" t="n">
        <v>0.1</v>
      </c>
      <c r="E11" s="23" t="n">
        <v>0.11</v>
      </c>
      <c r="F11" s="23" t="n">
        <v>0.11</v>
      </c>
      <c r="G11" s="23" t="n">
        <v>0.11</v>
      </c>
    </row>
    <row r="12" customFormat="false" ht="15" hidden="false" customHeight="false" outlineLevel="0" collapsed="false">
      <c r="A12" s="2" t="s">
        <v>148</v>
      </c>
      <c r="B12" s="15" t="s">
        <v>166</v>
      </c>
      <c r="C12" s="15" t="s">
        <v>167</v>
      </c>
      <c r="D12" s="15" t="s">
        <v>168</v>
      </c>
      <c r="E12" s="15" t="s">
        <v>169</v>
      </c>
      <c r="F12" s="15" t="s">
        <v>170</v>
      </c>
      <c r="G12" s="15" t="s">
        <v>171</v>
      </c>
    </row>
    <row r="14" customFormat="false" ht="15" hidden="false" customHeight="false" outlineLevel="0" collapsed="false">
      <c r="A14" s="3" t="s">
        <v>172</v>
      </c>
      <c r="B14" s="3" t="s">
        <v>3</v>
      </c>
      <c r="C14" s="3" t="s">
        <v>65</v>
      </c>
      <c r="D14" s="3" t="s">
        <v>173</v>
      </c>
    </row>
    <row r="15" customFormat="false" ht="15" hidden="false" customHeight="false" outlineLevel="0" collapsed="false">
      <c r="A15" s="8" t="s">
        <v>174</v>
      </c>
      <c r="B15" s="23" t="n">
        <v>0.17</v>
      </c>
      <c r="C15" s="15" t="s">
        <v>175</v>
      </c>
      <c r="D15" s="2" t="s">
        <v>176</v>
      </c>
    </row>
    <row r="16" customFormat="false" ht="15" hidden="false" customHeight="false" outlineLevel="0" collapsed="false">
      <c r="A16" s="8" t="s">
        <v>177</v>
      </c>
      <c r="B16" s="24" t="n">
        <v>1.1</v>
      </c>
      <c r="C16" s="15" t="s">
        <v>178</v>
      </c>
      <c r="D16" s="2" t="s">
        <v>176</v>
      </c>
    </row>
    <row r="17" customFormat="false" ht="15" hidden="false" customHeight="false" outlineLevel="0" collapsed="false">
      <c r="A17" s="8" t="s">
        <v>179</v>
      </c>
      <c r="B17" s="23" t="n">
        <v>0.05</v>
      </c>
      <c r="C17" s="15" t="s">
        <v>180</v>
      </c>
      <c r="D17" s="2" t="s">
        <v>176</v>
      </c>
    </row>
    <row r="18" customFormat="false" ht="15" hidden="false" customHeight="false" outlineLevel="0" collapsed="false">
      <c r="A18" s="8" t="s">
        <v>181</v>
      </c>
      <c r="B18" s="23" t="n">
        <v>0.03</v>
      </c>
      <c r="C18" s="15" t="s">
        <v>182</v>
      </c>
      <c r="D18" s="2" t="s">
        <v>176</v>
      </c>
    </row>
    <row r="19" customFormat="false" ht="15" hidden="false" customHeight="false" outlineLevel="0" collapsed="false">
      <c r="A19" s="8" t="s">
        <v>183</v>
      </c>
      <c r="B19" s="25" t="n">
        <v>0.051</v>
      </c>
      <c r="C19" s="15" t="s">
        <v>184</v>
      </c>
      <c r="D19" s="2" t="s">
        <v>185</v>
      </c>
    </row>
    <row r="20" customFormat="false" ht="15" hidden="false" customHeight="false" outlineLevel="0" collapsed="false">
      <c r="A20" s="8" t="s">
        <v>186</v>
      </c>
      <c r="B20" s="26" t="n">
        <v>336.91</v>
      </c>
      <c r="C20" s="15" t="s">
        <v>187</v>
      </c>
      <c r="D20" s="2" t="s">
        <v>188</v>
      </c>
    </row>
    <row r="22" customFormat="false" ht="15" hidden="false" customHeight="false" outlineLevel="0" collapsed="false">
      <c r="A22" s="3" t="s">
        <v>189</v>
      </c>
      <c r="B22" s="3" t="s">
        <v>3</v>
      </c>
      <c r="C22" s="3"/>
      <c r="D22" s="3" t="s">
        <v>131</v>
      </c>
    </row>
    <row r="23" customFormat="false" ht="15" hidden="false" customHeight="false" outlineLevel="0" collapsed="false">
      <c r="A23" s="8" t="s">
        <v>190</v>
      </c>
      <c r="B23" s="16" t="n">
        <f aca="false">Założenia!$B$19+Założenia!$B$16*Założenia!$B$17</f>
        <v>0.106</v>
      </c>
      <c r="D23" s="2" t="s">
        <v>191</v>
      </c>
    </row>
    <row r="24" customFormat="false" ht="15" hidden="false" customHeight="false" outlineLevel="0" collapsed="false">
      <c r="A24" s="8" t="s">
        <v>192</v>
      </c>
      <c r="B24" s="12" t="n">
        <f aca="false">'Dane historyczne'!$B$42</f>
        <v>46547</v>
      </c>
      <c r="D24" s="2" t="s">
        <v>193</v>
      </c>
    </row>
    <row r="25" customFormat="false" ht="15" hidden="false" customHeight="false" outlineLevel="0" collapsed="false">
      <c r="A25" s="8" t="s">
        <v>194</v>
      </c>
      <c r="B25" s="12" t="n">
        <f aca="false">Założenia!$B$20*'Dane historyczne'!$B$43</f>
        <v>4075600.27</v>
      </c>
      <c r="D25" s="2" t="s">
        <v>195</v>
      </c>
    </row>
    <row r="26" customFormat="false" ht="15" hidden="false" customHeight="false" outlineLevel="0" collapsed="false">
      <c r="A26" s="8" t="s">
        <v>196</v>
      </c>
      <c r="B26" s="16" t="n">
        <f aca="false">Założenia!$B$24/(Założenia!$B$24+Założenia!$B$25)</f>
        <v>0.0112919303826814</v>
      </c>
      <c r="D26" s="2" t="s">
        <v>197</v>
      </c>
    </row>
    <row r="27" customFormat="false" ht="15" hidden="false" customHeight="false" outlineLevel="0" collapsed="false">
      <c r="A27" s="8" t="s">
        <v>198</v>
      </c>
      <c r="B27" s="17" t="n">
        <v>0.1</v>
      </c>
      <c r="D27" s="2" t="s">
        <v>199</v>
      </c>
    </row>
    <row r="28" customFormat="false" ht="15" hidden="false" customHeight="false" outlineLevel="0" collapsed="false">
      <c r="A28" s="8" t="s">
        <v>200</v>
      </c>
      <c r="B28" s="27" t="str">
        <f aca="false">IF(Założenia!$B$26&gt;Założenia!$B$27,"TAK - dodaj koszt długu do WACC","NIE - WACC = koszt kapitału własnego")</f>
        <v>NIE - WACC = koszt kapitału własnego</v>
      </c>
      <c r="D28" s="2"/>
    </row>
    <row r="29" customFormat="false" ht="15" hidden="false" customHeight="false" outlineLevel="0" collapsed="false">
      <c r="A29" s="4" t="s">
        <v>7</v>
      </c>
      <c r="B29" s="28" t="n">
        <f aca="false">Założenia!$B$23</f>
        <v>0.106</v>
      </c>
      <c r="D29" s="2" t="s">
        <v>201</v>
      </c>
    </row>
    <row r="31" customFormat="false" ht="15" hidden="false" customHeight="true" outlineLevel="0" collapsed="false">
      <c r="A31" s="3" t="s">
        <v>202</v>
      </c>
      <c r="B31" s="3" t="s">
        <v>65</v>
      </c>
      <c r="C31" s="29" t="s">
        <v>203</v>
      </c>
      <c r="D31" s="29"/>
      <c r="E31" s="29"/>
      <c r="F31" s="29"/>
      <c r="G31" s="29"/>
    </row>
    <row r="32" customFormat="false" ht="31.5" hidden="false" customHeight="true" outlineLevel="0" collapsed="false">
      <c r="A32" s="30" t="s">
        <v>204</v>
      </c>
      <c r="B32" s="31" t="s">
        <v>149</v>
      </c>
      <c r="C32" s="32" t="s">
        <v>205</v>
      </c>
      <c r="D32" s="32"/>
      <c r="E32" s="32"/>
      <c r="F32" s="32"/>
      <c r="G32" s="32"/>
    </row>
    <row r="33" customFormat="false" ht="18" hidden="false" customHeight="true" outlineLevel="0" collapsed="false">
      <c r="A33" s="30" t="s">
        <v>206</v>
      </c>
      <c r="B33" s="31" t="s">
        <v>150</v>
      </c>
      <c r="C33" s="32" t="s">
        <v>207</v>
      </c>
      <c r="D33" s="32"/>
      <c r="E33" s="32"/>
      <c r="F33" s="32"/>
      <c r="G33" s="32"/>
    </row>
    <row r="34" customFormat="false" ht="31.5" hidden="false" customHeight="true" outlineLevel="0" collapsed="false">
      <c r="A34" s="30" t="s">
        <v>208</v>
      </c>
      <c r="B34" s="31" t="s">
        <v>151</v>
      </c>
      <c r="C34" s="32" t="s">
        <v>209</v>
      </c>
      <c r="D34" s="32"/>
      <c r="E34" s="32"/>
      <c r="F34" s="32"/>
      <c r="G34" s="32"/>
    </row>
    <row r="35" customFormat="false" ht="18" hidden="false" customHeight="true" outlineLevel="0" collapsed="false">
      <c r="A35" s="30" t="s">
        <v>210</v>
      </c>
      <c r="B35" s="31" t="s">
        <v>152</v>
      </c>
      <c r="C35" s="32" t="s">
        <v>211</v>
      </c>
      <c r="D35" s="32"/>
      <c r="E35" s="32"/>
      <c r="F35" s="32"/>
      <c r="G35" s="32"/>
    </row>
    <row r="36" customFormat="false" ht="18" hidden="false" customHeight="true" outlineLevel="0" collapsed="false">
      <c r="A36" s="30" t="s">
        <v>212</v>
      </c>
      <c r="B36" s="31" t="s">
        <v>153</v>
      </c>
      <c r="C36" s="32" t="s">
        <v>213</v>
      </c>
      <c r="D36" s="32"/>
      <c r="E36" s="32"/>
      <c r="F36" s="32"/>
      <c r="G36" s="32"/>
    </row>
    <row r="37" customFormat="false" ht="45.75" hidden="false" customHeight="true" outlineLevel="0" collapsed="false">
      <c r="A37" s="30" t="s">
        <v>214</v>
      </c>
      <c r="B37" s="31" t="s">
        <v>154</v>
      </c>
      <c r="C37" s="32" t="s">
        <v>215</v>
      </c>
      <c r="D37" s="32"/>
      <c r="E37" s="32"/>
      <c r="F37" s="32"/>
      <c r="G37" s="32"/>
    </row>
    <row r="38" customFormat="false" ht="45.75" hidden="false" customHeight="true" outlineLevel="0" collapsed="false">
      <c r="A38" s="30" t="s">
        <v>216</v>
      </c>
      <c r="B38" s="31" t="s">
        <v>155</v>
      </c>
      <c r="C38" s="32" t="s">
        <v>215</v>
      </c>
      <c r="D38" s="32"/>
      <c r="E38" s="32"/>
      <c r="F38" s="32"/>
      <c r="G38" s="32"/>
    </row>
    <row r="39" customFormat="false" ht="45.75" hidden="false" customHeight="true" outlineLevel="0" collapsed="false">
      <c r="A39" s="30" t="s">
        <v>217</v>
      </c>
      <c r="B39" s="31" t="s">
        <v>156</v>
      </c>
      <c r="C39" s="32" t="s">
        <v>215</v>
      </c>
      <c r="D39" s="32"/>
      <c r="E39" s="32"/>
      <c r="F39" s="32"/>
      <c r="G39" s="32"/>
    </row>
    <row r="40" customFormat="false" ht="45.75" hidden="false" customHeight="true" outlineLevel="0" collapsed="false">
      <c r="A40" s="30" t="s">
        <v>218</v>
      </c>
      <c r="B40" s="31" t="s">
        <v>157</v>
      </c>
      <c r="C40" s="32" t="s">
        <v>215</v>
      </c>
      <c r="D40" s="32"/>
      <c r="E40" s="32"/>
      <c r="F40" s="32"/>
      <c r="G40" s="32"/>
    </row>
    <row r="41" customFormat="false" ht="45.75" hidden="false" customHeight="true" outlineLevel="0" collapsed="false">
      <c r="A41" s="30" t="s">
        <v>219</v>
      </c>
      <c r="B41" s="31" t="s">
        <v>158</v>
      </c>
      <c r="C41" s="32" t="s">
        <v>215</v>
      </c>
      <c r="D41" s="32"/>
      <c r="E41" s="32"/>
      <c r="F41" s="32"/>
      <c r="G41" s="32"/>
    </row>
    <row r="42" customFormat="false" ht="31.5" hidden="false" customHeight="true" outlineLevel="0" collapsed="false">
      <c r="A42" s="30" t="s">
        <v>220</v>
      </c>
      <c r="B42" s="31" t="s">
        <v>159</v>
      </c>
      <c r="C42" s="32" t="s">
        <v>221</v>
      </c>
      <c r="D42" s="32"/>
      <c r="E42" s="32"/>
      <c r="F42" s="32"/>
      <c r="G42" s="32"/>
    </row>
    <row r="43" customFormat="false" ht="45.75" hidden="false" customHeight="true" outlineLevel="0" collapsed="false">
      <c r="A43" s="30" t="s">
        <v>222</v>
      </c>
      <c r="B43" s="31" t="s">
        <v>160</v>
      </c>
      <c r="C43" s="32" t="s">
        <v>223</v>
      </c>
      <c r="D43" s="32"/>
      <c r="E43" s="32"/>
      <c r="F43" s="32"/>
      <c r="G43" s="32"/>
    </row>
    <row r="44" customFormat="false" ht="31.5" hidden="false" customHeight="true" outlineLevel="0" collapsed="false">
      <c r="A44" s="30" t="s">
        <v>224</v>
      </c>
      <c r="B44" s="31" t="s">
        <v>161</v>
      </c>
      <c r="C44" s="32" t="s">
        <v>225</v>
      </c>
      <c r="D44" s="32"/>
      <c r="E44" s="32"/>
      <c r="F44" s="32"/>
      <c r="G44" s="32"/>
    </row>
    <row r="45" customFormat="false" ht="31.5" hidden="false" customHeight="true" outlineLevel="0" collapsed="false">
      <c r="A45" s="30" t="s">
        <v>226</v>
      </c>
      <c r="B45" s="31" t="s">
        <v>162</v>
      </c>
      <c r="C45" s="32" t="s">
        <v>227</v>
      </c>
      <c r="D45" s="32"/>
      <c r="E45" s="32"/>
      <c r="F45" s="32"/>
      <c r="G45" s="32"/>
    </row>
    <row r="46" customFormat="false" ht="31.5" hidden="false" customHeight="true" outlineLevel="0" collapsed="false">
      <c r="A46" s="30" t="s">
        <v>228</v>
      </c>
      <c r="B46" s="31" t="s">
        <v>163</v>
      </c>
      <c r="C46" s="32" t="s">
        <v>229</v>
      </c>
      <c r="D46" s="32"/>
      <c r="E46" s="32"/>
      <c r="F46" s="32"/>
      <c r="G46" s="32"/>
    </row>
    <row r="47" customFormat="false" ht="31.5" hidden="false" customHeight="true" outlineLevel="0" collapsed="false">
      <c r="A47" s="30" t="s">
        <v>230</v>
      </c>
      <c r="B47" s="31" t="s">
        <v>164</v>
      </c>
      <c r="C47" s="32" t="s">
        <v>231</v>
      </c>
      <c r="D47" s="32"/>
      <c r="E47" s="32"/>
      <c r="F47" s="32"/>
      <c r="G47" s="32"/>
    </row>
    <row r="48" customFormat="false" ht="45.75" hidden="false" customHeight="true" outlineLevel="0" collapsed="false">
      <c r="A48" s="30" t="s">
        <v>232</v>
      </c>
      <c r="B48" s="31" t="s">
        <v>166</v>
      </c>
      <c r="C48" s="32" t="s">
        <v>233</v>
      </c>
      <c r="D48" s="32"/>
      <c r="E48" s="32"/>
      <c r="F48" s="32"/>
      <c r="G48" s="32"/>
    </row>
    <row r="49" customFormat="false" ht="45.75" hidden="false" customHeight="true" outlineLevel="0" collapsed="false">
      <c r="A49" s="30" t="s">
        <v>234</v>
      </c>
      <c r="B49" s="31" t="s">
        <v>167</v>
      </c>
      <c r="C49" s="32" t="s">
        <v>233</v>
      </c>
      <c r="D49" s="32"/>
      <c r="E49" s="32"/>
      <c r="F49" s="32"/>
      <c r="G49" s="32"/>
    </row>
    <row r="50" customFormat="false" ht="45.75" hidden="false" customHeight="true" outlineLevel="0" collapsed="false">
      <c r="A50" s="30" t="s">
        <v>235</v>
      </c>
      <c r="B50" s="31" t="s">
        <v>168</v>
      </c>
      <c r="C50" s="32" t="s">
        <v>233</v>
      </c>
      <c r="D50" s="32"/>
      <c r="E50" s="32"/>
      <c r="F50" s="32"/>
      <c r="G50" s="32"/>
    </row>
    <row r="51" customFormat="false" ht="45.75" hidden="false" customHeight="true" outlineLevel="0" collapsed="false">
      <c r="A51" s="30" t="s">
        <v>236</v>
      </c>
      <c r="B51" s="31" t="s">
        <v>169</v>
      </c>
      <c r="C51" s="32" t="s">
        <v>233</v>
      </c>
      <c r="D51" s="32"/>
      <c r="E51" s="32"/>
      <c r="F51" s="32"/>
      <c r="G51" s="32"/>
    </row>
    <row r="52" customFormat="false" ht="45.75" hidden="false" customHeight="true" outlineLevel="0" collapsed="false">
      <c r="A52" s="30" t="s">
        <v>237</v>
      </c>
      <c r="B52" s="31" t="s">
        <v>170</v>
      </c>
      <c r="C52" s="32" t="s">
        <v>233</v>
      </c>
      <c r="D52" s="32"/>
      <c r="E52" s="32"/>
      <c r="F52" s="32"/>
      <c r="G52" s="32"/>
    </row>
    <row r="53" customFormat="false" ht="31.5" hidden="false" customHeight="true" outlineLevel="0" collapsed="false">
      <c r="A53" s="30" t="s">
        <v>174</v>
      </c>
      <c r="B53" s="31" t="s">
        <v>175</v>
      </c>
      <c r="C53" s="32" t="s">
        <v>238</v>
      </c>
      <c r="D53" s="32"/>
      <c r="E53" s="32"/>
      <c r="F53" s="32"/>
      <c r="G53" s="32"/>
    </row>
    <row r="54" customFormat="false" ht="31.5" hidden="false" customHeight="true" outlineLevel="0" collapsed="false">
      <c r="A54" s="30" t="s">
        <v>177</v>
      </c>
      <c r="B54" s="31" t="s">
        <v>178</v>
      </c>
      <c r="C54" s="32" t="s">
        <v>239</v>
      </c>
      <c r="D54" s="32"/>
      <c r="E54" s="32"/>
      <c r="F54" s="32"/>
      <c r="G54" s="32"/>
    </row>
    <row r="55" customFormat="false" ht="31.5" hidden="false" customHeight="true" outlineLevel="0" collapsed="false">
      <c r="A55" s="30" t="s">
        <v>179</v>
      </c>
      <c r="B55" s="31" t="s">
        <v>180</v>
      </c>
      <c r="C55" s="32" t="s">
        <v>240</v>
      </c>
      <c r="D55" s="32"/>
      <c r="E55" s="32"/>
      <c r="F55" s="32"/>
      <c r="G55" s="32"/>
    </row>
    <row r="56" customFormat="false" ht="31.5" hidden="false" customHeight="true" outlineLevel="0" collapsed="false">
      <c r="A56" s="30" t="s">
        <v>181</v>
      </c>
      <c r="B56" s="31" t="s">
        <v>182</v>
      </c>
      <c r="C56" s="32" t="s">
        <v>241</v>
      </c>
      <c r="D56" s="32"/>
      <c r="E56" s="32"/>
      <c r="F56" s="32"/>
      <c r="G56" s="32"/>
    </row>
    <row r="57" customFormat="false" ht="31.5" hidden="false" customHeight="true" outlineLevel="0" collapsed="false">
      <c r="A57" s="30" t="s">
        <v>242</v>
      </c>
      <c r="B57" s="31" t="s">
        <v>165</v>
      </c>
      <c r="C57" s="32" t="s">
        <v>243</v>
      </c>
      <c r="D57" s="32"/>
      <c r="E57" s="32"/>
      <c r="F57" s="32"/>
      <c r="G57" s="32"/>
    </row>
    <row r="58" customFormat="false" ht="31.5" hidden="false" customHeight="true" outlineLevel="0" collapsed="false">
      <c r="A58" s="30" t="s">
        <v>244</v>
      </c>
      <c r="B58" s="31" t="s">
        <v>171</v>
      </c>
      <c r="C58" s="32" t="s">
        <v>245</v>
      </c>
      <c r="D58" s="32"/>
      <c r="E58" s="32"/>
      <c r="F58" s="32"/>
      <c r="G58" s="32"/>
    </row>
  </sheetData>
  <mergeCells count="28">
    <mergeCell ref="C31:G31"/>
    <mergeCell ref="C32:G32"/>
    <mergeCell ref="C33:G33"/>
    <mergeCell ref="C34:G34"/>
    <mergeCell ref="C35:G35"/>
    <mergeCell ref="C36:G36"/>
    <mergeCell ref="C37:G37"/>
    <mergeCell ref="C38:G38"/>
    <mergeCell ref="C39:G39"/>
    <mergeCell ref="C40:G40"/>
    <mergeCell ref="C41:G41"/>
    <mergeCell ref="C42:G42"/>
    <mergeCell ref="C43:G43"/>
    <mergeCell ref="C44:G44"/>
    <mergeCell ref="C45:G45"/>
    <mergeCell ref="C46:G46"/>
    <mergeCell ref="C47:G47"/>
    <mergeCell ref="C48:G48"/>
    <mergeCell ref="C49:G49"/>
    <mergeCell ref="C50:G50"/>
    <mergeCell ref="C51:G51"/>
    <mergeCell ref="C52:G52"/>
    <mergeCell ref="C53:G53"/>
    <mergeCell ref="C54:G54"/>
    <mergeCell ref="C55:G55"/>
    <mergeCell ref="C56:G56"/>
    <mergeCell ref="C57:G57"/>
    <mergeCell ref="C58:G58"/>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34375" defaultRowHeight="15" customHeight="false" zeroHeight="false" outlineLevelRow="0" outlineLevelCol="0"/>
  <cols>
    <col collapsed="false" customWidth="true" hidden="false" outlineLevel="0" max="1" min="1" style="0" width="62"/>
    <col collapsed="false" customWidth="true" hidden="false" outlineLevel="0" max="8" min="2" style="0" width="16"/>
  </cols>
  <sheetData>
    <row r="1" customFormat="false" ht="17.35" hidden="false" customHeight="false" outlineLevel="0" collapsed="false">
      <c r="A1" s="1" t="s">
        <v>246</v>
      </c>
    </row>
    <row r="2" customFormat="false" ht="15" hidden="false" customHeight="false" outlineLevel="0" collapsed="false">
      <c r="A2" s="2" t="s">
        <v>247</v>
      </c>
    </row>
    <row r="4" customFormat="false" ht="25.55" hidden="false" customHeight="false" outlineLevel="0" collapsed="false">
      <c r="A4" s="3" t="s">
        <v>49</v>
      </c>
      <c r="B4" s="3" t="s">
        <v>248</v>
      </c>
      <c r="C4" s="3" t="s">
        <v>249</v>
      </c>
      <c r="D4" s="3" t="s">
        <v>250</v>
      </c>
      <c r="E4" s="3" t="s">
        <v>251</v>
      </c>
      <c r="F4" s="3" t="s">
        <v>252</v>
      </c>
      <c r="G4" s="3" t="s">
        <v>253</v>
      </c>
      <c r="H4" s="3" t="s">
        <v>254</v>
      </c>
    </row>
    <row r="5" customFormat="false" ht="15" hidden="false" customHeight="false" outlineLevel="0" collapsed="false">
      <c r="A5" s="8" t="s">
        <v>255</v>
      </c>
      <c r="C5" s="33" t="n">
        <f aca="false">1</f>
        <v>1</v>
      </c>
      <c r="D5" s="33" t="n">
        <f aca="false">C5+1</f>
        <v>2</v>
      </c>
      <c r="E5" s="33" t="n">
        <f aca="false">D5+1</f>
        <v>3</v>
      </c>
      <c r="F5" s="33" t="n">
        <f aca="false">E5+1</f>
        <v>4</v>
      </c>
      <c r="G5" s="33" t="n">
        <f aca="false">F5+1</f>
        <v>5</v>
      </c>
    </row>
    <row r="6" customFormat="false" ht="15" hidden="false" customHeight="false" outlineLevel="0" collapsed="false">
      <c r="A6" s="4" t="s">
        <v>53</v>
      </c>
      <c r="B6" s="10" t="n">
        <f aca="false">'Dane historyczne'!$D$5</f>
        <v>402836</v>
      </c>
      <c r="C6" s="12" t="n">
        <f aca="false">B6*(1+C7)</f>
        <v>459233.04</v>
      </c>
      <c r="D6" s="12" t="n">
        <f aca="false">C6*(1+D7)</f>
        <v>514341.0048</v>
      </c>
      <c r="E6" s="12" t="n">
        <f aca="false">D6*(1+E7)</f>
        <v>565775.10528</v>
      </c>
      <c r="F6" s="12" t="n">
        <f aca="false">E6*(1+F7)</f>
        <v>611037.1137024</v>
      </c>
      <c r="G6" s="12" t="n">
        <f aca="false">F6*(1+G7)</f>
        <v>647699.340524544</v>
      </c>
      <c r="H6" s="12" t="n">
        <f aca="false">G6*(1+H7)</f>
        <v>667130.320740281</v>
      </c>
    </row>
    <row r="7" customFormat="false" ht="15" hidden="false" customHeight="false" outlineLevel="0" collapsed="false">
      <c r="A7" s="8" t="s">
        <v>256</v>
      </c>
      <c r="C7" s="9" t="n">
        <f aca="false">Założenia!$B$5</f>
        <v>0.14</v>
      </c>
      <c r="D7" s="9" t="n">
        <f aca="false">Założenia!$C$5</f>
        <v>0.12</v>
      </c>
      <c r="E7" s="9" t="n">
        <f aca="false">Założenia!$D$5</f>
        <v>0.1</v>
      </c>
      <c r="F7" s="9" t="n">
        <f aca="false">Założenia!$E$5</f>
        <v>0.08</v>
      </c>
      <c r="G7" s="9" t="n">
        <f aca="false">Założenia!$F$5</f>
        <v>0.06</v>
      </c>
      <c r="H7" s="9" t="n">
        <f aca="false">Założenia!$B$18</f>
        <v>0.03</v>
      </c>
    </row>
    <row r="8" customFormat="false" ht="15" hidden="false" customHeight="false" outlineLevel="0" collapsed="false">
      <c r="A8" s="8" t="s">
        <v>27</v>
      </c>
      <c r="C8" s="9" t="n">
        <f aca="false">Założenia!$B$7</f>
        <v>0.31</v>
      </c>
      <c r="D8" s="9" t="n">
        <f aca="false">Założenia!$C$7</f>
        <v>0.3</v>
      </c>
      <c r="E8" s="9" t="n">
        <f aca="false">Założenia!$D$7</f>
        <v>0.29</v>
      </c>
      <c r="F8" s="9" t="n">
        <f aca="false">Założenia!$E$7</f>
        <v>0.29</v>
      </c>
      <c r="G8" s="9" t="n">
        <f aca="false">Założenia!$F$7</f>
        <v>0.29</v>
      </c>
      <c r="H8" s="9" t="n">
        <f aca="false">Założenia!$G$7</f>
        <v>0.29</v>
      </c>
    </row>
    <row r="9" customFormat="false" ht="15" hidden="false" customHeight="false" outlineLevel="0" collapsed="false">
      <c r="A9" s="8" t="s">
        <v>257</v>
      </c>
      <c r="C9" s="12" t="n">
        <f aca="false">C6*C8</f>
        <v>142362.2424</v>
      </c>
      <c r="D9" s="12" t="n">
        <f aca="false">D6*D8</f>
        <v>154302.30144</v>
      </c>
      <c r="E9" s="12" t="n">
        <f aca="false">E6*E8</f>
        <v>164074.7805312</v>
      </c>
      <c r="F9" s="12" t="n">
        <f aca="false">F6*F8</f>
        <v>177200.762973696</v>
      </c>
      <c r="G9" s="12" t="n">
        <f aca="false">G6*G8</f>
        <v>187832.808752118</v>
      </c>
      <c r="H9" s="12" t="n">
        <f aca="false">H6*H8</f>
        <v>193467.793014681</v>
      </c>
    </row>
    <row r="10" customFormat="false" ht="15" hidden="false" customHeight="false" outlineLevel="0" collapsed="false">
      <c r="A10" s="8" t="s">
        <v>20</v>
      </c>
      <c r="C10" s="9" t="n">
        <f aca="false">Założenia!$B$15</f>
        <v>0.17</v>
      </c>
      <c r="D10" s="9" t="n">
        <f aca="false">Założenia!$B$15</f>
        <v>0.17</v>
      </c>
      <c r="E10" s="9" t="n">
        <f aca="false">Założenia!$B$15</f>
        <v>0.17</v>
      </c>
      <c r="F10" s="9" t="n">
        <f aca="false">Założenia!$B$15</f>
        <v>0.17</v>
      </c>
      <c r="G10" s="9" t="n">
        <f aca="false">Założenia!$B$15</f>
        <v>0.17</v>
      </c>
      <c r="H10" s="9" t="n">
        <f aca="false">Założenia!$B$15</f>
        <v>0.17</v>
      </c>
    </row>
    <row r="11" customFormat="false" ht="15" hidden="false" customHeight="false" outlineLevel="0" collapsed="false">
      <c r="A11" s="8" t="s">
        <v>258</v>
      </c>
      <c r="C11" s="12" t="n">
        <f aca="false">-C9*C10</f>
        <v>-24201.581208</v>
      </c>
      <c r="D11" s="12" t="n">
        <f aca="false">-D9*D10</f>
        <v>-26231.3912448</v>
      </c>
      <c r="E11" s="12" t="n">
        <f aca="false">-E9*E10</f>
        <v>-27892.712690304</v>
      </c>
      <c r="F11" s="12" t="n">
        <f aca="false">-F9*F10</f>
        <v>-30124.1297055283</v>
      </c>
      <c r="G11" s="12" t="n">
        <f aca="false">-G9*G10</f>
        <v>-31931.57748786</v>
      </c>
      <c r="H11" s="12" t="n">
        <f aca="false">-H9*H10</f>
        <v>-32889.5248124958</v>
      </c>
    </row>
    <row r="12" customFormat="false" ht="15" hidden="false" customHeight="false" outlineLevel="0" collapsed="false">
      <c r="A12" s="4" t="s">
        <v>259</v>
      </c>
      <c r="C12" s="12" t="n">
        <f aca="false">C9+C11</f>
        <v>118160.661192</v>
      </c>
      <c r="D12" s="12" t="n">
        <f aca="false">D9+D11</f>
        <v>128070.9101952</v>
      </c>
      <c r="E12" s="12" t="n">
        <f aca="false">E9+E11</f>
        <v>136182.067840896</v>
      </c>
      <c r="F12" s="12" t="n">
        <f aca="false">F9+F11</f>
        <v>147076.633268168</v>
      </c>
      <c r="G12" s="12" t="n">
        <f aca="false">G9+G11</f>
        <v>155901.231264258</v>
      </c>
      <c r="H12" s="12" t="n">
        <f aca="false">H9+H11</f>
        <v>160578.268202186</v>
      </c>
    </row>
    <row r="13" customFormat="false" ht="15" hidden="false" customHeight="false" outlineLevel="0" collapsed="false">
      <c r="A13" s="8" t="s">
        <v>140</v>
      </c>
      <c r="C13" s="9" t="n">
        <f aca="false">Założenia!$B$11</f>
        <v>0.07</v>
      </c>
      <c r="D13" s="9" t="n">
        <f aca="false">Założenia!$C$11</f>
        <v>0.09</v>
      </c>
      <c r="E13" s="9" t="n">
        <f aca="false">Założenia!$D$11</f>
        <v>0.1</v>
      </c>
      <c r="F13" s="9" t="n">
        <f aca="false">Założenia!$E$11</f>
        <v>0.11</v>
      </c>
      <c r="G13" s="9" t="n">
        <f aca="false">Założenia!$F$11</f>
        <v>0.11</v>
      </c>
      <c r="H13" s="9" t="n">
        <f aca="false">Założenia!$G$11</f>
        <v>0.11</v>
      </c>
    </row>
    <row r="14" customFormat="false" ht="15" hidden="false" customHeight="false" outlineLevel="0" collapsed="false">
      <c r="A14" s="8" t="s">
        <v>260</v>
      </c>
      <c r="C14" s="12" t="n">
        <f aca="false">C6*C13</f>
        <v>32146.3128</v>
      </c>
      <c r="D14" s="12" t="n">
        <f aca="false">D6*D13</f>
        <v>46290.690432</v>
      </c>
      <c r="E14" s="12" t="n">
        <f aca="false">E6*E13</f>
        <v>56577.510528</v>
      </c>
      <c r="F14" s="12" t="n">
        <f aca="false">F6*F13</f>
        <v>67214.082507264</v>
      </c>
      <c r="G14" s="12" t="n">
        <f aca="false">G6*G13</f>
        <v>71246.9274576999</v>
      </c>
      <c r="H14" s="12" t="n">
        <f aca="false">H6*H13</f>
        <v>73384.3352814309</v>
      </c>
    </row>
    <row r="15" customFormat="false" ht="15" hidden="false" customHeight="false" outlineLevel="0" collapsed="false">
      <c r="A15" s="8" t="s">
        <v>137</v>
      </c>
      <c r="C15" s="9" t="n">
        <f aca="false">Założenia!$B$9</f>
        <v>0.35</v>
      </c>
      <c r="D15" s="9" t="n">
        <f aca="false">Założenia!$C$9</f>
        <v>0.33</v>
      </c>
      <c r="E15" s="9" t="n">
        <f aca="false">Założenia!$D$9</f>
        <v>0.28</v>
      </c>
      <c r="F15" s="9" t="n">
        <f aca="false">Założenia!$E$9</f>
        <v>0.22</v>
      </c>
      <c r="G15" s="9" t="n">
        <f aca="false">Założenia!$F$9</f>
        <v>0.18</v>
      </c>
      <c r="H15" s="9" t="n">
        <f aca="false">Założenia!$G$9</f>
        <v>0.14</v>
      </c>
    </row>
    <row r="16" customFormat="false" ht="15" hidden="false" customHeight="false" outlineLevel="0" collapsed="false">
      <c r="A16" s="8" t="s">
        <v>261</v>
      </c>
      <c r="C16" s="12" t="n">
        <f aca="false">-C6*C15</f>
        <v>-160731.564</v>
      </c>
      <c r="D16" s="12" t="n">
        <f aca="false">-D6*D15</f>
        <v>-169732.531584</v>
      </c>
      <c r="E16" s="12" t="n">
        <f aca="false">-E6*E15</f>
        <v>-158417.0294784</v>
      </c>
      <c r="F16" s="12" t="n">
        <f aca="false">-F6*F15</f>
        <v>-134428.165014528</v>
      </c>
      <c r="G16" s="12" t="n">
        <f aca="false">-G6*G15</f>
        <v>-116585.881294418</v>
      </c>
      <c r="H16" s="12" t="n">
        <f aca="false">-H6*H15</f>
        <v>-93398.2449036393</v>
      </c>
    </row>
    <row r="17" customFormat="false" ht="15" hidden="false" customHeight="false" outlineLevel="0" collapsed="false">
      <c r="A17" s="4" t="s">
        <v>262</v>
      </c>
      <c r="C17" s="34" t="n">
        <f aca="false">C12+C14+C16</f>
        <v>-10424.590008</v>
      </c>
      <c r="D17" s="34" t="n">
        <f aca="false">D12+D14+D16</f>
        <v>4629.0690432</v>
      </c>
      <c r="E17" s="34" t="n">
        <f aca="false">E12+E14+E16</f>
        <v>34342.548890496</v>
      </c>
      <c r="F17" s="34" t="n">
        <f aca="false">F12+F14+F16</f>
        <v>79862.5507609037</v>
      </c>
      <c r="G17" s="34" t="n">
        <f aca="false">G12+G14+G16</f>
        <v>110562.27742754</v>
      </c>
      <c r="H17" s="34" t="n">
        <f aca="false">H12+H14+H16</f>
        <v>140564.358579977</v>
      </c>
    </row>
    <row r="18" customFormat="false" ht="15" hidden="false" customHeight="false" outlineLevel="0" collapsed="false">
      <c r="A18" s="8" t="s">
        <v>263</v>
      </c>
      <c r="C18" s="35" t="n">
        <f aca="false">1/(1+$B$24)^C5</f>
        <v>0.904159132007233</v>
      </c>
      <c r="D18" s="35" t="n">
        <f aca="false">1/(1+$B$24)^D5</f>
        <v>0.817503735992073</v>
      </c>
      <c r="E18" s="35" t="n">
        <f aca="false">1/(1+$B$24)^E5</f>
        <v>0.739153468347263</v>
      </c>
      <c r="F18" s="35" t="n">
        <f aca="false">1/(1+$B$24)^F5</f>
        <v>0.668312358360998</v>
      </c>
      <c r="G18" s="35" t="n">
        <f aca="false">1/(1+$B$24)^G5</f>
        <v>0.604260721845387</v>
      </c>
    </row>
    <row r="19" customFormat="false" ht="15" hidden="false" customHeight="false" outlineLevel="0" collapsed="false">
      <c r="A19" s="4" t="s">
        <v>264</v>
      </c>
      <c r="C19" s="34" t="n">
        <f aca="false">C17*C18</f>
        <v>-9425.48825316456</v>
      </c>
      <c r="D19" s="34" t="n">
        <f aca="false">D17*D18</f>
        <v>3784.28123698125</v>
      </c>
      <c r="E19" s="34" t="n">
        <f aca="false">E17*E18</f>
        <v>25384.4141242956</v>
      </c>
      <c r="F19" s="34" t="n">
        <f aca="false">F17*F18</f>
        <v>53373.1296437444</v>
      </c>
      <c r="G19" s="34" t="n">
        <f aca="false">G17*G18</f>
        <v>66808.441567235</v>
      </c>
    </row>
    <row r="21" customFormat="false" ht="15" hidden="false" customHeight="false" outlineLevel="0" collapsed="false">
      <c r="A21" s="3" t="s">
        <v>265</v>
      </c>
      <c r="B21" s="3" t="s">
        <v>3</v>
      </c>
    </row>
    <row r="22" customFormat="false" ht="15" hidden="false" customHeight="false" outlineLevel="0" collapsed="false">
      <c r="A22" s="8" t="s">
        <v>266</v>
      </c>
      <c r="B22" s="12" t="n">
        <f aca="false">SUM(C19:G19)</f>
        <v>139924.778319092</v>
      </c>
    </row>
    <row r="23" customFormat="false" ht="15" hidden="false" customHeight="false" outlineLevel="0" collapsed="false">
      <c r="A23" s="8" t="s">
        <v>267</v>
      </c>
      <c r="B23" s="12" t="n">
        <f aca="false">H17</f>
        <v>140564.358579977</v>
      </c>
    </row>
    <row r="24" customFormat="false" ht="15" hidden="false" customHeight="false" outlineLevel="0" collapsed="false">
      <c r="A24" s="8" t="s">
        <v>7</v>
      </c>
      <c r="B24" s="9" t="n">
        <f aca="false">Założenia!$B$29</f>
        <v>0.106</v>
      </c>
    </row>
    <row r="25" customFormat="false" ht="15" hidden="false" customHeight="false" outlineLevel="0" collapsed="false">
      <c r="A25" s="8" t="s">
        <v>268</v>
      </c>
      <c r="B25" s="9" t="n">
        <f aca="false">Założenia!$B$18</f>
        <v>0.03</v>
      </c>
    </row>
    <row r="26" customFormat="false" ht="15" hidden="false" customHeight="false" outlineLevel="0" collapsed="false">
      <c r="A26" s="8" t="s">
        <v>269</v>
      </c>
      <c r="B26" s="12" t="n">
        <f aca="false">IF(B24&gt;B25,B23/(B24-B25),"WACC musi być większy od g")</f>
        <v>1849531.03394707</v>
      </c>
    </row>
    <row r="27" customFormat="false" ht="15" hidden="false" customHeight="false" outlineLevel="0" collapsed="false">
      <c r="A27" s="8" t="s">
        <v>270</v>
      </c>
      <c r="B27" s="12" t="n">
        <f aca="false">B26*G18</f>
        <v>1117598.9576483</v>
      </c>
    </row>
    <row r="28" customFormat="false" ht="15" hidden="false" customHeight="false" outlineLevel="0" collapsed="false">
      <c r="A28" s="4" t="s">
        <v>271</v>
      </c>
      <c r="B28" s="34" t="n">
        <f aca="false">B22+B27</f>
        <v>1257523.73596739</v>
      </c>
    </row>
    <row r="29" customFormat="false" ht="15" hidden="false" customHeight="false" outlineLevel="0" collapsed="false">
      <c r="A29" s="8" t="s">
        <v>272</v>
      </c>
      <c r="B29" s="10" t="n">
        <f aca="false">'Dane historyczne'!$B$41</f>
        <v>126843</v>
      </c>
    </row>
    <row r="30" customFormat="false" ht="15" hidden="false" customHeight="false" outlineLevel="0" collapsed="false">
      <c r="A30" s="8" t="s">
        <v>44</v>
      </c>
      <c r="B30" s="10" t="n">
        <f aca="false">-'Dane historyczne'!$B$42</f>
        <v>-46547</v>
      </c>
    </row>
    <row r="31" customFormat="false" ht="15" hidden="false" customHeight="false" outlineLevel="0" collapsed="false">
      <c r="A31" s="4" t="s">
        <v>273</v>
      </c>
      <c r="B31" s="34" t="n">
        <f aca="false">B28+B29+B30</f>
        <v>1337819.73596739</v>
      </c>
    </row>
    <row r="32" customFormat="false" ht="15" hidden="false" customHeight="false" outlineLevel="0" collapsed="false">
      <c r="A32" s="8" t="s">
        <v>274</v>
      </c>
      <c r="B32" s="36" t="n">
        <f aca="false">'Dane historyczne'!$B$43</f>
        <v>12097</v>
      </c>
    </row>
    <row r="33" customFormat="false" ht="15" hidden="false" customHeight="false" outlineLevel="0" collapsed="false">
      <c r="A33" s="4" t="s">
        <v>275</v>
      </c>
      <c r="B33" s="5" t="n">
        <f aca="false">B31/B32</f>
        <v>110.59103380734</v>
      </c>
    </row>
    <row r="34" customFormat="false" ht="15" hidden="false" customHeight="false" outlineLevel="0" collapsed="false">
      <c r="A34" s="8" t="s">
        <v>11</v>
      </c>
      <c r="B34" s="16" t="n">
        <f aca="false">B27/B28</f>
        <v>0.888729910762718</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cols>
    <col collapsed="false" customWidth="true" hidden="false" outlineLevel="0" max="1" min="1" style="0" width="40"/>
    <col collapsed="false" customWidth="true" hidden="false" outlineLevel="0" max="7" min="2" style="0" width="14"/>
  </cols>
  <sheetData>
    <row r="1" customFormat="false" ht="17.35" hidden="false" customHeight="false" outlineLevel="0" collapsed="false">
      <c r="A1" s="1" t="s">
        <v>276</v>
      </c>
    </row>
    <row r="2" customFormat="false" ht="15" hidden="false" customHeight="false" outlineLevel="0" collapsed="false">
      <c r="A2" s="2" t="s">
        <v>277</v>
      </c>
    </row>
    <row r="4" customFormat="false" ht="15" hidden="false" customHeight="false" outlineLevel="0" collapsed="false">
      <c r="A4" s="8" t="s">
        <v>278</v>
      </c>
      <c r="B4" s="17" t="n">
        <v>0.01</v>
      </c>
    </row>
    <row r="5" customFormat="false" ht="15" hidden="false" customHeight="false" outlineLevel="0" collapsed="false">
      <c r="A5" s="8" t="s">
        <v>279</v>
      </c>
      <c r="B5" s="17" t="n">
        <v>0.005</v>
      </c>
    </row>
    <row r="7" customFormat="false" ht="15" hidden="false" customHeight="false" outlineLevel="0" collapsed="false">
      <c r="C7" s="4" t="s">
        <v>280</v>
      </c>
    </row>
    <row r="8" customFormat="false" ht="15" hidden="false" customHeight="false" outlineLevel="0" collapsed="false">
      <c r="A8" s="4" t="s">
        <v>281</v>
      </c>
      <c r="C8" s="37" t="n">
        <f aca="false">Założenia!$B$29+(-2)*$B$4</f>
        <v>0.086</v>
      </c>
      <c r="D8" s="37" t="n">
        <f aca="false">Założenia!$B$29+(-1)*$B$4</f>
        <v>0.096</v>
      </c>
      <c r="E8" s="37" t="n">
        <f aca="false">Założenia!$B$29+(0)*$B$4</f>
        <v>0.106</v>
      </c>
      <c r="F8" s="37" t="n">
        <f aca="false">Założenia!$B$29+(1)*$B$4</f>
        <v>0.116</v>
      </c>
      <c r="G8" s="37" t="n">
        <f aca="false">Założenia!$B$29+(2)*$B$4</f>
        <v>0.126</v>
      </c>
    </row>
    <row r="9" customFormat="false" ht="15" hidden="false" customHeight="false" outlineLevel="0" collapsed="false">
      <c r="B9" s="37" t="n">
        <f aca="false">Założenia!$B$18+(-2)*$B$5</f>
        <v>0.02</v>
      </c>
      <c r="C9" s="38" t="n">
        <f aca="false">IF(C$8&gt;$B9,(SUMPRODUCT(DCF!$C$17:$G$17/(1+C$8)^DCF!$C$5:$G$5)+DCF!$G$6*(1+$B9)*(DCF!$H$8*(1-DCF!$H$10)+DCF!$H$13-DCF!$H$15)/(C$8-$B9)/(1+C$8)^DCF!$G$5+DCF!$B$29+DCF!$B$30)/'Dane historyczne'!$B$43,"-")</f>
        <v>134.598034251607</v>
      </c>
      <c r="D9" s="38" t="n">
        <f aca="false">IF(D$8&gt;$B9,(SUMPRODUCT(DCF!$C$17:$G$17/(1+D$8)^DCF!$C$5:$G$5)+DCF!$G$6*(1+$B9)*(DCF!$H$8*(1-DCF!$H$10)+DCF!$H$13-DCF!$H$15)/(D$8-$B9)/(1+D$8)^DCF!$G$5+DCF!$B$29+DCF!$B$30)/'Dane historyczne'!$B$43,"-")</f>
        <v>114.421152099361</v>
      </c>
      <c r="E9" s="38" t="n">
        <f aca="false">IF(E$8&gt;$B9,(SUMPRODUCT(DCF!$C$17:$G$17/(1+E$8)^DCF!$C$5:$G$5)+DCF!$G$6*(1+$B9)*(DCF!$H$8*(1-DCF!$H$10)+DCF!$H$13-DCF!$H$15)/(E$8-$B9)/(1+E$8)^DCF!$G$5+DCF!$B$29+DCF!$B$30)/'Dane historyczne'!$B$43,"-")</f>
        <v>99.0557639628339</v>
      </c>
      <c r="F9" s="38" t="n">
        <f aca="false">IF(F$8&gt;$B9,(SUMPRODUCT(DCF!$C$17:$G$17/(1+F$8)^DCF!$C$5:$G$5)+DCF!$G$6*(1+$B9)*(DCF!$H$8*(1-DCF!$H$10)+DCF!$H$13-DCF!$H$15)/(F$8-$B9)/(1+F$8)^DCF!$G$5+DCF!$B$29+DCF!$B$30)/'Dane historyczne'!$B$43,"-")</f>
        <v>86.9927957932265</v>
      </c>
      <c r="G9" s="38" t="n">
        <f aca="false">IF(G$8&gt;$B9,(SUMPRODUCT(DCF!$C$17:$G$17/(1+G$8)^DCF!$C$5:$G$5)+DCF!$G$6*(1+$B9)*(DCF!$H$8*(1-DCF!$H$10)+DCF!$H$13-DCF!$H$15)/(G$8-$B9)/(1+G$8)^DCF!$G$5+DCF!$B$29+DCF!$B$30)/'Dane historyczne'!$B$43,"-")</f>
        <v>77.292939775344</v>
      </c>
    </row>
    <row r="10" customFormat="false" ht="15" hidden="false" customHeight="false" outlineLevel="0" collapsed="false">
      <c r="B10" s="37" t="n">
        <f aca="false">Założenia!$B$18+(-1)*$B$5</f>
        <v>0.025</v>
      </c>
      <c r="C10" s="38" t="n">
        <f aca="false">IF(C$8&gt;$B10,(SUMPRODUCT(DCF!$C$17:$G$17/(1+C$8)^DCF!$C$5:$G$5)+DCF!$G$6*(1+$B10)*(DCF!$H$8*(1-DCF!$H$10)+DCF!$H$13-DCF!$H$15)/(C$8-$B10)/(1+C$8)^DCF!$G$5+DCF!$B$29+DCF!$B$30)/'Dane historyczne'!$B$43,"-")</f>
        <v>144.670533475465</v>
      </c>
      <c r="D10" s="38" t="n">
        <f aca="false">IF(D$8&gt;$B10,(SUMPRODUCT(DCF!$C$17:$G$17/(1+D$8)^DCF!$C$5:$G$5)+DCF!$G$6*(1+$B10)*(DCF!$H$8*(1-DCF!$H$10)+DCF!$H$13-DCF!$H$15)/(D$8-$B10)/(1+D$8)^DCF!$G$5+DCF!$B$29+DCF!$B$30)/'Dane historyczne'!$B$43,"-")</f>
        <v>121.665781208838</v>
      </c>
      <c r="E10" s="38" t="n">
        <f aca="false">IF(E$8&gt;$B10,(SUMPRODUCT(DCF!$C$17:$G$17/(1+E$8)^DCF!$C$5:$G$5)+DCF!$G$6*(1+$B10)*(DCF!$H$8*(1-DCF!$H$10)+DCF!$H$13-DCF!$H$15)/(E$8-$B10)/(1+E$8)^DCF!$G$5+DCF!$B$29+DCF!$B$30)/'Dane historyczne'!$B$43,"-")</f>
        <v>104.467372038034</v>
      </c>
      <c r="F10" s="38" t="n">
        <f aca="false">IF(F$8&gt;$B10,(SUMPRODUCT(DCF!$C$17:$G$17/(1+F$8)^DCF!$C$5:$G$5)+DCF!$G$6*(1+$B10)*(DCF!$H$8*(1-DCF!$H$10)+DCF!$H$13-DCF!$H$15)/(F$8-$B10)/(1+F$8)^DCF!$G$5+DCF!$B$29+DCF!$B$30)/'Dane historyczne'!$B$43,"-")</f>
        <v>91.1553596637274</v>
      </c>
      <c r="G10" s="38" t="n">
        <f aca="false">IF(G$8&gt;$B10,(SUMPRODUCT(DCF!$C$17:$G$17/(1+G$8)^DCF!$C$5:$G$5)+DCF!$G$6*(1+$B10)*(DCF!$H$8*(1-DCF!$H$10)+DCF!$H$13-DCF!$H$15)/(G$8-$B10)/(1+G$8)^DCF!$G$5+DCF!$B$29+DCF!$B$30)/'Dane historyczne'!$B$43,"-")</f>
        <v>80.5704911892193</v>
      </c>
    </row>
    <row r="11" customFormat="false" ht="15" hidden="false" customHeight="false" outlineLevel="0" collapsed="false">
      <c r="B11" s="37" t="n">
        <f aca="false">Założenia!$B$18+(0)*$B$5</f>
        <v>0.03</v>
      </c>
      <c r="C11" s="38" t="n">
        <f aca="false">IF(C$8&gt;$B11,(SUMPRODUCT(DCF!$C$17:$G$17/(1+C$8)^DCF!$C$5:$G$5)+DCF!$G$6*(1+$B11)*(DCF!$H$8*(1-DCF!$H$10)+DCF!$H$13-DCF!$H$15)/(C$8-$B11)/(1+C$8)^DCF!$G$5+DCF!$B$29+DCF!$B$30)/'Dane historyczne'!$B$43,"-")</f>
        <v>156.541693275011</v>
      </c>
      <c r="D11" s="38" t="n">
        <f aca="false">IF(D$8&gt;$B11,(SUMPRODUCT(DCF!$C$17:$G$17/(1+D$8)^DCF!$C$5:$G$5)+DCF!$G$6*(1+$B11)*(DCF!$H$8*(1-DCF!$H$10)+DCF!$H$13-DCF!$H$15)/(D$8-$B11)/(1+D$8)^DCF!$G$5+DCF!$B$29+DCF!$B$30)/'Dane historyczne'!$B$43,"-")</f>
        <v>130.008081395509</v>
      </c>
      <c r="E11" s="39" t="n">
        <f aca="false">IF(E$8&gt;$B11,(SUMPRODUCT(DCF!$C$17:$G$17/(1+E$8)^DCF!$C$5:$G$5)+DCF!$G$6*(1+$B11)*(DCF!$H$8*(1-DCF!$H$10)+DCF!$H$13-DCF!$H$15)/(E$8-$B11)/(1+E$8)^DCF!$G$5+DCF!$B$29+DCF!$B$30)/'Dane historyczne'!$B$43,"-")</f>
        <v>110.59103380734</v>
      </c>
      <c r="F11" s="38" t="n">
        <f aca="false">IF(F$8&gt;$B11,(SUMPRODUCT(DCF!$C$17:$G$17/(1+F$8)^DCF!$C$5:$G$5)+DCF!$G$6*(1+$B11)*(DCF!$H$8*(1-DCF!$H$10)+DCF!$H$13-DCF!$H$15)/(F$8-$B11)/(1+F$8)^DCF!$G$5+DCF!$B$29+DCF!$B$30)/'Dane historyczne'!$B$43,"-")</f>
        <v>95.8019425889376</v>
      </c>
      <c r="G11" s="38" t="n">
        <f aca="false">IF(G$8&gt;$B11,(SUMPRODUCT(DCF!$C$17:$G$17/(1+G$8)^DCF!$C$5:$G$5)+DCF!$G$6*(1+$B11)*(DCF!$H$8*(1-DCF!$H$10)+DCF!$H$13-DCF!$H$15)/(G$8-$B11)/(1+G$8)^DCF!$G$5+DCF!$B$29+DCF!$B$30)/'Dane historyczne'!$B$43,"-")</f>
        <v>84.1894542087066</v>
      </c>
    </row>
    <row r="12" customFormat="false" ht="15" hidden="false" customHeight="false" outlineLevel="0" collapsed="false">
      <c r="B12" s="37" t="n">
        <f aca="false">Założenia!$B$18+(1)*$B$5</f>
        <v>0.035</v>
      </c>
      <c r="C12" s="38" t="n">
        <f aca="false">IF(C$8&gt;$B12,(SUMPRODUCT(DCF!$C$17:$G$17/(1+C$8)^DCF!$C$5:$G$5)+DCF!$G$6*(1+$B12)*(DCF!$H$8*(1-DCF!$H$10)+DCF!$H$13-DCF!$H$15)/(C$8-$B12)/(1+C$8)^DCF!$G$5+DCF!$B$29+DCF!$B$30)/'Dane historyczne'!$B$43,"-")</f>
        <v>170.740531466625</v>
      </c>
      <c r="D12" s="38" t="n">
        <f aca="false">IF(D$8&gt;$B12,(SUMPRODUCT(DCF!$C$17:$G$17/(1+D$8)^DCF!$C$5:$G$5)+DCF!$G$6*(1+$B12)*(DCF!$H$8*(1-DCF!$H$10)+DCF!$H$13-DCF!$H$15)/(D$8-$B12)/(1+D$8)^DCF!$G$5+DCF!$B$29+DCF!$B$30)/'Dane historyczne'!$B$43,"-")</f>
        <v>139.717971776716</v>
      </c>
      <c r="E12" s="38" t="n">
        <f aca="false">IF(E$8&gt;$B12,(SUMPRODUCT(DCF!$C$17:$G$17/(1+E$8)^DCF!$C$5:$G$5)+DCF!$G$6*(1+$B12)*(DCF!$H$8*(1-DCF!$H$10)+DCF!$H$13-DCF!$H$15)/(E$8-$B12)/(1+E$8)^DCF!$G$5+DCF!$B$29+DCF!$B$30)/'Dane historyczne'!$B$43,"-")</f>
        <v>117.577183149787</v>
      </c>
      <c r="F12" s="38" t="n">
        <f aca="false">IF(F$8&gt;$B12,(SUMPRODUCT(DCF!$C$17:$G$17/(1+F$8)^DCF!$C$5:$G$5)+DCF!$G$6*(1+$B12)*(DCF!$H$8*(1-DCF!$H$10)+DCF!$H$13-DCF!$H$15)/(F$8-$B12)/(1+F$8)^DCF!$G$5+DCF!$B$29+DCF!$B$30)/'Dane historyczne'!$B$43,"-")</f>
        <v>101.022177727137</v>
      </c>
      <c r="G12" s="38" t="n">
        <f aca="false">IF(G$8&gt;$B12,(SUMPRODUCT(DCF!$C$17:$G$17/(1+G$8)^DCF!$C$5:$G$5)+DCF!$G$6*(1+$B12)*(DCF!$H$8*(1-DCF!$H$10)+DCF!$H$13-DCF!$H$15)/(G$8-$B12)/(1+G$8)^DCF!$G$5+DCF!$B$29+DCF!$B$30)/'Dane historyczne'!$B$43,"-")</f>
        <v>88.2061054720936</v>
      </c>
    </row>
    <row r="13" customFormat="false" ht="15" hidden="false" customHeight="false" outlineLevel="0" collapsed="false">
      <c r="B13" s="37" t="n">
        <f aca="false">Założenia!$B$18+(2)*$B$5</f>
        <v>0.04</v>
      </c>
      <c r="C13" s="38" t="n">
        <f aca="false">IF(C$8&gt;$B13,(SUMPRODUCT(DCF!$C$17:$G$17/(1+C$8)^DCF!$C$5:$G$5)+DCF!$G$6*(1+$B13)*(DCF!$H$8*(1-DCF!$H$10)+DCF!$H$13-DCF!$H$15)/(C$8-$B13)/(1+C$8)^DCF!$G$5+DCF!$B$29+DCF!$B$30)/'Dane historyczne'!$B$43,"-")</f>
        <v>188.026073612938</v>
      </c>
      <c r="D13" s="38" t="n">
        <f aca="false">IF(D$8&gt;$B13,(SUMPRODUCT(DCF!$C$17:$G$17/(1+D$8)^DCF!$C$5:$G$5)+DCF!$G$6*(1+$B13)*(DCF!$H$8*(1-DCF!$H$10)+DCF!$H$13-DCF!$H$15)/(D$8-$B13)/(1+D$8)^DCF!$G$5+DCF!$B$29+DCF!$B$30)/'Dane historyczne'!$B$43,"-")</f>
        <v>151.161771154567</v>
      </c>
      <c r="E13" s="38" t="n">
        <f aca="false">IF(E$8&gt;$B13,(SUMPRODUCT(DCF!$C$17:$G$17/(1+E$8)^DCF!$C$5:$G$5)+DCF!$G$6*(1+$B13)*(DCF!$H$8*(1-DCF!$H$10)+DCF!$H$13-DCF!$H$15)/(E$8-$B13)/(1+E$8)^DCF!$G$5+DCF!$B$29+DCF!$B$30)/'Dane historyczne'!$B$43,"-")</f>
        <v>125.621839968363</v>
      </c>
      <c r="F13" s="38" t="n">
        <f aca="false">IF(F$8&gt;$B13,(SUMPRODUCT(DCF!$C$17:$G$17/(1+F$8)^DCF!$C$5:$G$5)+DCF!$G$6*(1+$B13)*(DCF!$H$8*(1-DCF!$H$10)+DCF!$H$13-DCF!$H$15)/(F$8-$B13)/(1+F$8)^DCF!$G$5+DCF!$B$29+DCF!$B$30)/'Dane historyczne'!$B$43,"-")</f>
        <v>106.929285909836</v>
      </c>
      <c r="G13" s="38" t="n">
        <f aca="false">IF(G$8&gt;$B13,(SUMPRODUCT(DCF!$C$17:$G$17/(1+G$8)^DCF!$C$5:$G$5)+DCF!$G$6*(1+$B13)*(DCF!$H$8*(1-DCF!$H$10)+DCF!$H$13-DCF!$H$15)/(G$8-$B13)/(1+G$8)^DCF!$G$5+DCF!$B$29+DCF!$B$30)/'Dane historyczne'!$B$43,"-")</f>
        <v>92.6898092079675</v>
      </c>
    </row>
    <row r="15" customFormat="false" ht="15" hidden="false" customHeight="false" outlineLevel="0" collapsed="false">
      <c r="A15" s="8" t="s">
        <v>5</v>
      </c>
      <c r="B15" s="6" t="n">
        <f aca="false">Założenia!$B$20</f>
        <v>336.91</v>
      </c>
    </row>
    <row r="16" customFormat="false" ht="15" hidden="false" customHeight="false" outlineLevel="0" collapsed="false">
      <c r="A16" s="8" t="s">
        <v>282</v>
      </c>
      <c r="B16" s="6" t="n">
        <f aca="false">DCF!$B$33</f>
        <v>110.59103380734</v>
      </c>
    </row>
    <row r="17" customFormat="false" ht="15" hidden="false" customHeight="false" outlineLevel="0" collapsed="false">
      <c r="A17" s="8" t="s">
        <v>283</v>
      </c>
      <c r="B17" s="27" t="str">
        <f aca="false">IF(ABS(E11-B16)&lt;0.01,"OK","BŁĄD")</f>
        <v>OK</v>
      </c>
    </row>
  </sheetData>
  <conditionalFormatting sqref="C9:G13">
    <cfRule type="colorScale" priority="2">
      <colorScale>
        <cfvo type="min" val="0"/>
        <cfvo type="percentile" val="50"/>
        <cfvo type="max" val="0"/>
        <color rgb="FFF8696B"/>
        <color rgb="FFFFEB84"/>
        <color rgb="FF63BE7B"/>
      </colorScale>
    </cfRule>
  </conditionalFormatting>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34375" defaultRowHeight="15" customHeight="false"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40"/>
    <col collapsed="false" customWidth="true" hidden="false" outlineLevel="0" max="4" min="4" style="0" width="34"/>
    <col collapsed="false" customWidth="true" hidden="false" outlineLevel="0" max="5" min="5" style="0" width="14"/>
    <col collapsed="false" customWidth="true" hidden="false" outlineLevel="0" max="6" min="6" style="0" width="10"/>
    <col collapsed="false" customWidth="true" hidden="false" outlineLevel="0" max="7" min="7" style="0" width="12"/>
    <col collapsed="false" customWidth="true" hidden="false" outlineLevel="0" max="8" min="8" style="0" width="24"/>
    <col collapsed="false" customWidth="true" hidden="false" outlineLevel="0" max="9" min="9" style="0" width="12"/>
    <col collapsed="false" customWidth="true" hidden="false" outlineLevel="0" max="10" min="10" style="0" width="48"/>
    <col collapsed="false" customWidth="true" hidden="false" outlineLevel="0" max="11" min="11" style="0" width="70"/>
  </cols>
  <sheetData>
    <row r="1" customFormat="false" ht="17.35" hidden="false" customHeight="false" outlineLevel="0" collapsed="false">
      <c r="A1" s="1" t="s">
        <v>284</v>
      </c>
    </row>
    <row r="3" customFormat="false" ht="15" hidden="false" customHeight="false" outlineLevel="0" collapsed="false">
      <c r="A3" s="3" t="s">
        <v>65</v>
      </c>
      <c r="B3" s="3" t="s">
        <v>285</v>
      </c>
      <c r="C3" s="3" t="s">
        <v>286</v>
      </c>
      <c r="D3" s="3" t="s">
        <v>287</v>
      </c>
      <c r="E3" s="3" t="s">
        <v>288</v>
      </c>
      <c r="F3" s="3" t="s">
        <v>289</v>
      </c>
      <c r="G3" s="3" t="s">
        <v>290</v>
      </c>
      <c r="H3" s="3" t="s">
        <v>291</v>
      </c>
      <c r="I3" s="3" t="s">
        <v>292</v>
      </c>
      <c r="J3" s="3" t="s">
        <v>293</v>
      </c>
      <c r="K3" s="3" t="s">
        <v>294</v>
      </c>
    </row>
    <row r="4" customFormat="false" ht="42.75" hidden="false" customHeight="true" outlineLevel="0" collapsed="false">
      <c r="A4" s="40" t="s">
        <v>56</v>
      </c>
      <c r="B4" s="40" t="s">
        <v>295</v>
      </c>
      <c r="C4" s="40" t="s">
        <v>296</v>
      </c>
      <c r="D4" s="30" t="s">
        <v>297</v>
      </c>
      <c r="E4" s="41" t="n">
        <v>402836</v>
      </c>
      <c r="F4" s="40" t="s">
        <v>67</v>
      </c>
      <c r="G4" s="40" t="s">
        <v>31</v>
      </c>
      <c r="H4" s="30" t="s">
        <v>298</v>
      </c>
      <c r="I4" s="30" t="s">
        <v>299</v>
      </c>
      <c r="J4" s="30" t="s">
        <v>300</v>
      </c>
      <c r="K4" s="30" t="s">
        <v>301</v>
      </c>
    </row>
    <row r="5" customFormat="false" ht="42.75" hidden="false" customHeight="true" outlineLevel="0" collapsed="false">
      <c r="A5" s="40" t="s">
        <v>55</v>
      </c>
      <c r="B5" s="40" t="s">
        <v>295</v>
      </c>
      <c r="C5" s="40" t="s">
        <v>302</v>
      </c>
      <c r="D5" s="30" t="s">
        <v>297</v>
      </c>
      <c r="E5" s="41" t="n">
        <v>350018</v>
      </c>
      <c r="F5" s="40" t="s">
        <v>67</v>
      </c>
      <c r="G5" s="40" t="s">
        <v>30</v>
      </c>
      <c r="H5" s="30" t="s">
        <v>298</v>
      </c>
      <c r="I5" s="30" t="s">
        <v>299</v>
      </c>
      <c r="J5" s="30" t="s">
        <v>300</v>
      </c>
      <c r="K5" s="30" t="s">
        <v>301</v>
      </c>
    </row>
    <row r="6" customFormat="false" ht="42.75" hidden="false" customHeight="true" outlineLevel="0" collapsed="false">
      <c r="A6" s="40" t="s">
        <v>54</v>
      </c>
      <c r="B6" s="40" t="s">
        <v>295</v>
      </c>
      <c r="C6" s="40" t="s">
        <v>303</v>
      </c>
      <c r="D6" s="30" t="s">
        <v>297</v>
      </c>
      <c r="E6" s="41" t="n">
        <v>307394</v>
      </c>
      <c r="F6" s="40" t="s">
        <v>67</v>
      </c>
      <c r="G6" s="40" t="s">
        <v>29</v>
      </c>
      <c r="H6" s="30" t="s">
        <v>298</v>
      </c>
      <c r="I6" s="30" t="s">
        <v>299</v>
      </c>
      <c r="J6" s="30" t="s">
        <v>300</v>
      </c>
      <c r="K6" s="30" t="s">
        <v>301</v>
      </c>
    </row>
    <row r="7" customFormat="false" ht="42.75" hidden="false" customHeight="true" outlineLevel="0" collapsed="false">
      <c r="A7" s="40" t="s">
        <v>60</v>
      </c>
      <c r="B7" s="40" t="s">
        <v>295</v>
      </c>
      <c r="C7" s="40" t="s">
        <v>304</v>
      </c>
      <c r="D7" s="30" t="s">
        <v>305</v>
      </c>
      <c r="E7" s="41" t="n">
        <v>129039</v>
      </c>
      <c r="F7" s="40" t="s">
        <v>67</v>
      </c>
      <c r="G7" s="40" t="s">
        <v>31</v>
      </c>
      <c r="H7" s="30" t="s">
        <v>298</v>
      </c>
      <c r="I7" s="30" t="s">
        <v>299</v>
      </c>
      <c r="J7" s="30" t="s">
        <v>300</v>
      </c>
      <c r="K7" s="30" t="s">
        <v>306</v>
      </c>
    </row>
    <row r="8" customFormat="false" ht="42.75" hidden="false" customHeight="true" outlineLevel="0" collapsed="false">
      <c r="A8" s="40" t="s">
        <v>59</v>
      </c>
      <c r="B8" s="40" t="s">
        <v>295</v>
      </c>
      <c r="C8" s="40" t="s">
        <v>307</v>
      </c>
      <c r="D8" s="30" t="s">
        <v>305</v>
      </c>
      <c r="E8" s="41" t="n">
        <v>112390</v>
      </c>
      <c r="F8" s="40" t="s">
        <v>67</v>
      </c>
      <c r="G8" s="40" t="s">
        <v>30</v>
      </c>
      <c r="H8" s="30" t="s">
        <v>298</v>
      </c>
      <c r="I8" s="30" t="s">
        <v>299</v>
      </c>
      <c r="J8" s="30" t="s">
        <v>300</v>
      </c>
      <c r="K8" s="30" t="s">
        <v>306</v>
      </c>
    </row>
    <row r="9" customFormat="false" ht="42.75" hidden="false" customHeight="true" outlineLevel="0" collapsed="false">
      <c r="A9" s="40" t="s">
        <v>58</v>
      </c>
      <c r="B9" s="40" t="s">
        <v>295</v>
      </c>
      <c r="C9" s="40" t="s">
        <v>308</v>
      </c>
      <c r="D9" s="30" t="s">
        <v>305</v>
      </c>
      <c r="E9" s="41" t="n">
        <v>84293</v>
      </c>
      <c r="F9" s="40" t="s">
        <v>67</v>
      </c>
      <c r="G9" s="40" t="s">
        <v>29</v>
      </c>
      <c r="H9" s="30" t="s">
        <v>298</v>
      </c>
      <c r="I9" s="30" t="s">
        <v>299</v>
      </c>
      <c r="J9" s="30" t="s">
        <v>300</v>
      </c>
      <c r="K9" s="30" t="s">
        <v>306</v>
      </c>
    </row>
    <row r="10" customFormat="false" ht="42.75" hidden="false" customHeight="true" outlineLevel="0" collapsed="false">
      <c r="A10" s="40" t="s">
        <v>68</v>
      </c>
      <c r="B10" s="40" t="s">
        <v>295</v>
      </c>
      <c r="C10" s="40" t="s">
        <v>309</v>
      </c>
      <c r="D10" s="30" t="s">
        <v>66</v>
      </c>
      <c r="E10" s="41" t="n">
        <v>132170</v>
      </c>
      <c r="F10" s="40" t="s">
        <v>67</v>
      </c>
      <c r="G10" s="40" t="s">
        <v>31</v>
      </c>
      <c r="H10" s="30" t="s">
        <v>298</v>
      </c>
      <c r="I10" s="30" t="s">
        <v>299</v>
      </c>
      <c r="J10" s="30" t="s">
        <v>300</v>
      </c>
      <c r="K10" s="30" t="s">
        <v>310</v>
      </c>
    </row>
    <row r="11" customFormat="false" ht="42.75" hidden="false" customHeight="true" outlineLevel="0" collapsed="false">
      <c r="A11" s="40" t="s">
        <v>70</v>
      </c>
      <c r="B11" s="40" t="s">
        <v>295</v>
      </c>
      <c r="C11" s="40" t="s">
        <v>311</v>
      </c>
      <c r="D11" s="30" t="s">
        <v>69</v>
      </c>
      <c r="E11" s="41" t="n">
        <v>21136</v>
      </c>
      <c r="F11" s="40" t="s">
        <v>67</v>
      </c>
      <c r="G11" s="40" t="s">
        <v>31</v>
      </c>
      <c r="H11" s="30" t="s">
        <v>298</v>
      </c>
      <c r="I11" s="30" t="s">
        <v>312</v>
      </c>
      <c r="J11" s="30" t="s">
        <v>300</v>
      </c>
      <c r="K11" s="30" t="s">
        <v>313</v>
      </c>
    </row>
    <row r="12" customFormat="false" ht="42.75" hidden="false" customHeight="true" outlineLevel="0" collapsed="false">
      <c r="A12" s="40" t="s">
        <v>72</v>
      </c>
      <c r="B12" s="40" t="s">
        <v>295</v>
      </c>
      <c r="C12" s="40" t="s">
        <v>314</v>
      </c>
      <c r="D12" s="30" t="s">
        <v>71</v>
      </c>
      <c r="E12" s="41" t="n">
        <v>-91447</v>
      </c>
      <c r="F12" s="40" t="s">
        <v>67</v>
      </c>
      <c r="G12" s="40" t="s">
        <v>31</v>
      </c>
      <c r="H12" s="30" t="s">
        <v>298</v>
      </c>
      <c r="I12" s="30" t="s">
        <v>312</v>
      </c>
      <c r="J12" s="30" t="s">
        <v>300</v>
      </c>
      <c r="K12" s="30" t="s">
        <v>315</v>
      </c>
    </row>
    <row r="13" customFormat="false" ht="42.75" hidden="false" customHeight="true" outlineLevel="0" collapsed="false">
      <c r="A13" s="40" t="s">
        <v>74</v>
      </c>
      <c r="B13" s="40" t="s">
        <v>295</v>
      </c>
      <c r="C13" s="40" t="s">
        <v>316</v>
      </c>
      <c r="D13" s="30" t="s">
        <v>73</v>
      </c>
      <c r="E13" s="41" t="n">
        <v>158826</v>
      </c>
      <c r="F13" s="40" t="s">
        <v>67</v>
      </c>
      <c r="G13" s="40" t="s">
        <v>31</v>
      </c>
      <c r="H13" s="30" t="s">
        <v>298</v>
      </c>
      <c r="I13" s="30" t="s">
        <v>299</v>
      </c>
      <c r="J13" s="30" t="s">
        <v>300</v>
      </c>
      <c r="K13" s="30" t="s">
        <v>317</v>
      </c>
    </row>
    <row r="14" customFormat="false" ht="42.75" hidden="false" customHeight="true" outlineLevel="0" collapsed="false">
      <c r="A14" s="40" t="s">
        <v>76</v>
      </c>
      <c r="B14" s="40" t="s">
        <v>295</v>
      </c>
      <c r="C14" s="40" t="s">
        <v>318</v>
      </c>
      <c r="D14" s="30" t="s">
        <v>75</v>
      </c>
      <c r="E14" s="41" t="n">
        <v>26656</v>
      </c>
      <c r="F14" s="40" t="s">
        <v>67</v>
      </c>
      <c r="G14" s="40" t="s">
        <v>31</v>
      </c>
      <c r="H14" s="30" t="s">
        <v>298</v>
      </c>
      <c r="I14" s="30" t="s">
        <v>299</v>
      </c>
      <c r="J14" s="30" t="s">
        <v>300</v>
      </c>
      <c r="K14" s="30" t="s">
        <v>319</v>
      </c>
    </row>
    <row r="15" customFormat="false" ht="42.75" hidden="false" customHeight="true" outlineLevel="0" collapsed="false">
      <c r="A15" s="40" t="s">
        <v>79</v>
      </c>
      <c r="B15" s="40" t="s">
        <v>295</v>
      </c>
      <c r="C15" s="40" t="s">
        <v>320</v>
      </c>
      <c r="D15" s="30" t="s">
        <v>77</v>
      </c>
      <c r="E15" s="41" t="n">
        <v>30708</v>
      </c>
      <c r="F15" s="40" t="s">
        <v>67</v>
      </c>
      <c r="G15" s="40" t="s">
        <v>78</v>
      </c>
      <c r="H15" s="30" t="s">
        <v>298</v>
      </c>
      <c r="I15" s="30" t="s">
        <v>321</v>
      </c>
      <c r="J15" s="30" t="s">
        <v>300</v>
      </c>
      <c r="K15" s="30" t="s">
        <v>322</v>
      </c>
    </row>
    <row r="16" customFormat="false" ht="42.75" hidden="false" customHeight="true" outlineLevel="0" collapsed="false">
      <c r="A16" s="40" t="s">
        <v>81</v>
      </c>
      <c r="B16" s="40" t="s">
        <v>295</v>
      </c>
      <c r="C16" s="40" t="s">
        <v>323</v>
      </c>
      <c r="D16" s="30" t="s">
        <v>80</v>
      </c>
      <c r="E16" s="41" t="n">
        <v>96135</v>
      </c>
      <c r="F16" s="40" t="s">
        <v>67</v>
      </c>
      <c r="G16" s="40" t="s">
        <v>78</v>
      </c>
      <c r="H16" s="30" t="s">
        <v>298</v>
      </c>
      <c r="I16" s="30" t="s">
        <v>321</v>
      </c>
      <c r="J16" s="30" t="s">
        <v>300</v>
      </c>
      <c r="K16" s="30" t="s">
        <v>324</v>
      </c>
    </row>
    <row r="17" customFormat="false" ht="42.75" hidden="false" customHeight="true" outlineLevel="0" collapsed="false">
      <c r="A17" s="40" t="s">
        <v>83</v>
      </c>
      <c r="B17" s="40" t="s">
        <v>295</v>
      </c>
      <c r="C17" s="40" t="s">
        <v>325</v>
      </c>
      <c r="D17" s="30" t="s">
        <v>82</v>
      </c>
      <c r="E17" s="41" t="n">
        <v>46547</v>
      </c>
      <c r="F17" s="40" t="s">
        <v>67</v>
      </c>
      <c r="G17" s="40" t="s">
        <v>78</v>
      </c>
      <c r="H17" s="30" t="s">
        <v>298</v>
      </c>
      <c r="I17" s="30" t="s">
        <v>321</v>
      </c>
      <c r="J17" s="30" t="s">
        <v>300</v>
      </c>
      <c r="K17" s="30" t="s">
        <v>326</v>
      </c>
    </row>
    <row r="18" customFormat="false" ht="42.75" hidden="false" customHeight="true" outlineLevel="0" collapsed="false">
      <c r="A18" s="40" t="s">
        <v>85</v>
      </c>
      <c r="B18" s="40" t="s">
        <v>295</v>
      </c>
      <c r="C18" s="40" t="s">
        <v>327</v>
      </c>
      <c r="D18" s="30" t="s">
        <v>84</v>
      </c>
      <c r="E18" s="41" t="n">
        <v>246597</v>
      </c>
      <c r="F18" s="40" t="s">
        <v>67</v>
      </c>
      <c r="G18" s="40" t="s">
        <v>78</v>
      </c>
      <c r="H18" s="30" t="s">
        <v>298</v>
      </c>
      <c r="I18" s="30" t="s">
        <v>321</v>
      </c>
      <c r="J18" s="30" t="s">
        <v>300</v>
      </c>
      <c r="K18" s="30" t="s">
        <v>328</v>
      </c>
    </row>
    <row r="19" customFormat="false" ht="42.75" hidden="false" customHeight="true" outlineLevel="0" collapsed="false">
      <c r="A19" s="40" t="s">
        <v>87</v>
      </c>
      <c r="B19" s="40" t="s">
        <v>295</v>
      </c>
      <c r="C19" s="40" t="s">
        <v>329</v>
      </c>
      <c r="D19" s="30" t="s">
        <v>84</v>
      </c>
      <c r="E19" s="41" t="n">
        <v>171036</v>
      </c>
      <c r="F19" s="40" t="s">
        <v>67</v>
      </c>
      <c r="G19" s="40" t="s">
        <v>86</v>
      </c>
      <c r="H19" s="30" t="s">
        <v>298</v>
      </c>
      <c r="I19" s="30" t="s">
        <v>321</v>
      </c>
      <c r="J19" s="30" t="s">
        <v>300</v>
      </c>
      <c r="K19" s="30" t="s">
        <v>328</v>
      </c>
    </row>
    <row r="20" customFormat="false" ht="42.75" hidden="false" customHeight="true" outlineLevel="0" collapsed="false">
      <c r="A20" s="40" t="s">
        <v>90</v>
      </c>
      <c r="B20" s="40" t="s">
        <v>295</v>
      </c>
      <c r="C20" s="40" t="s">
        <v>330</v>
      </c>
      <c r="D20" s="30" t="s">
        <v>88</v>
      </c>
      <c r="E20" s="41" t="n">
        <v>16.8</v>
      </c>
      <c r="F20" s="40" t="s">
        <v>138</v>
      </c>
      <c r="G20" s="40" t="s">
        <v>31</v>
      </c>
      <c r="H20" s="30" t="s">
        <v>298</v>
      </c>
      <c r="I20" s="30" t="s">
        <v>331</v>
      </c>
      <c r="J20" s="30" t="s">
        <v>300</v>
      </c>
      <c r="K20" s="30" t="s">
        <v>332</v>
      </c>
    </row>
    <row r="21" customFormat="false" ht="42.75" hidden="false" customHeight="true" outlineLevel="0" collapsed="false">
      <c r="A21" s="40" t="s">
        <v>91</v>
      </c>
      <c r="B21" s="40" t="s">
        <v>295</v>
      </c>
      <c r="C21" s="40" t="s">
        <v>333</v>
      </c>
      <c r="D21" s="30" t="s">
        <v>88</v>
      </c>
      <c r="E21" s="41" t="n">
        <v>16.4</v>
      </c>
      <c r="F21" s="40" t="s">
        <v>138</v>
      </c>
      <c r="G21" s="40" t="s">
        <v>30</v>
      </c>
      <c r="H21" s="30" t="s">
        <v>298</v>
      </c>
      <c r="I21" s="30" t="s">
        <v>331</v>
      </c>
      <c r="J21" s="30" t="s">
        <v>300</v>
      </c>
      <c r="K21" s="30" t="s">
        <v>332</v>
      </c>
    </row>
    <row r="22" customFormat="false" ht="55.5" hidden="false" customHeight="true" outlineLevel="0" collapsed="false">
      <c r="A22" s="40" t="s">
        <v>95</v>
      </c>
      <c r="B22" s="40" t="s">
        <v>295</v>
      </c>
      <c r="C22" s="40" t="s">
        <v>334</v>
      </c>
      <c r="D22" s="30" t="s">
        <v>92</v>
      </c>
      <c r="E22" s="41" t="n">
        <v>5822</v>
      </c>
      <c r="F22" s="40" t="s">
        <v>93</v>
      </c>
      <c r="G22" s="40" t="s">
        <v>94</v>
      </c>
      <c r="H22" s="30" t="s">
        <v>298</v>
      </c>
      <c r="I22" s="30" t="s">
        <v>335</v>
      </c>
      <c r="J22" s="30" t="s">
        <v>300</v>
      </c>
      <c r="K22" s="30" t="s">
        <v>336</v>
      </c>
    </row>
    <row r="23" customFormat="false" ht="55.5" hidden="false" customHeight="true" outlineLevel="0" collapsed="false">
      <c r="A23" s="40" t="s">
        <v>97</v>
      </c>
      <c r="B23" s="40" t="s">
        <v>295</v>
      </c>
      <c r="C23" s="40" t="s">
        <v>337</v>
      </c>
      <c r="D23" s="30" t="s">
        <v>96</v>
      </c>
      <c r="E23" s="41" t="n">
        <v>837</v>
      </c>
      <c r="F23" s="40" t="s">
        <v>93</v>
      </c>
      <c r="G23" s="40" t="s">
        <v>94</v>
      </c>
      <c r="H23" s="30" t="s">
        <v>298</v>
      </c>
      <c r="I23" s="30" t="s">
        <v>335</v>
      </c>
      <c r="J23" s="30" t="s">
        <v>300</v>
      </c>
      <c r="K23" s="30" t="s">
        <v>336</v>
      </c>
    </row>
    <row r="24" customFormat="false" ht="55.5" hidden="false" customHeight="true" outlineLevel="0" collapsed="false">
      <c r="A24" s="40" t="s">
        <v>99</v>
      </c>
      <c r="B24" s="40" t="s">
        <v>295</v>
      </c>
      <c r="C24" s="40" t="s">
        <v>338</v>
      </c>
      <c r="D24" s="30" t="s">
        <v>98</v>
      </c>
      <c r="E24" s="41" t="n">
        <v>5438</v>
      </c>
      <c r="F24" s="40" t="s">
        <v>93</v>
      </c>
      <c r="G24" s="40" t="s">
        <v>94</v>
      </c>
      <c r="H24" s="30" t="s">
        <v>298</v>
      </c>
      <c r="I24" s="30" t="s">
        <v>335</v>
      </c>
      <c r="J24" s="30" t="s">
        <v>300</v>
      </c>
      <c r="K24" s="30" t="s">
        <v>336</v>
      </c>
    </row>
    <row r="25" customFormat="false" ht="42.75" hidden="false" customHeight="true" outlineLevel="0" collapsed="false">
      <c r="A25" s="40" t="s">
        <v>101</v>
      </c>
      <c r="B25" s="40" t="s">
        <v>295</v>
      </c>
      <c r="C25" s="40" t="s">
        <v>339</v>
      </c>
      <c r="D25" s="30" t="s">
        <v>100</v>
      </c>
      <c r="E25" s="41" t="n">
        <v>342721</v>
      </c>
      <c r="F25" s="40" t="s">
        <v>67</v>
      </c>
      <c r="G25" s="40" t="s">
        <v>31</v>
      </c>
      <c r="H25" s="30" t="s">
        <v>298</v>
      </c>
      <c r="I25" s="30" t="s">
        <v>340</v>
      </c>
      <c r="J25" s="30" t="s">
        <v>300</v>
      </c>
      <c r="K25" s="30" t="s">
        <v>341</v>
      </c>
    </row>
    <row r="26" customFormat="false" ht="42.75" hidden="false" customHeight="true" outlineLevel="0" collapsed="false">
      <c r="A26" s="40" t="s">
        <v>103</v>
      </c>
      <c r="B26" s="40" t="s">
        <v>295</v>
      </c>
      <c r="C26" s="40" t="s">
        <v>342</v>
      </c>
      <c r="D26" s="30" t="s">
        <v>102</v>
      </c>
      <c r="E26" s="41" t="n">
        <v>58705</v>
      </c>
      <c r="F26" s="40" t="s">
        <v>67</v>
      </c>
      <c r="G26" s="40" t="s">
        <v>31</v>
      </c>
      <c r="H26" s="30" t="s">
        <v>298</v>
      </c>
      <c r="I26" s="30" t="s">
        <v>340</v>
      </c>
      <c r="J26" s="30" t="s">
        <v>300</v>
      </c>
      <c r="K26" s="30" t="s">
        <v>343</v>
      </c>
    </row>
    <row r="27" customFormat="false" ht="42.75" hidden="false" customHeight="true" outlineLevel="0" collapsed="false">
      <c r="A27" s="40" t="s">
        <v>105</v>
      </c>
      <c r="B27" s="40" t="s">
        <v>295</v>
      </c>
      <c r="C27" s="40" t="s">
        <v>344</v>
      </c>
      <c r="D27" s="30" t="s">
        <v>104</v>
      </c>
      <c r="E27" s="41" t="n">
        <v>1537</v>
      </c>
      <c r="F27" s="40" t="s">
        <v>67</v>
      </c>
      <c r="G27" s="40" t="s">
        <v>31</v>
      </c>
      <c r="H27" s="30" t="s">
        <v>298</v>
      </c>
      <c r="I27" s="30" t="s">
        <v>340</v>
      </c>
      <c r="J27" s="30" t="s">
        <v>300</v>
      </c>
      <c r="K27" s="30" t="s">
        <v>345</v>
      </c>
    </row>
    <row r="28" customFormat="false" ht="42.75" hidden="false" customHeight="true" outlineLevel="0" collapsed="false">
      <c r="A28" s="40" t="s">
        <v>107</v>
      </c>
      <c r="B28" s="40" t="s">
        <v>295</v>
      </c>
      <c r="C28" s="40" t="s">
        <v>346</v>
      </c>
      <c r="D28" s="30" t="s">
        <v>106</v>
      </c>
      <c r="E28" s="41" t="n">
        <v>139404</v>
      </c>
      <c r="F28" s="40" t="s">
        <v>67</v>
      </c>
      <c r="G28" s="40" t="s">
        <v>31</v>
      </c>
      <c r="H28" s="30" t="s">
        <v>298</v>
      </c>
      <c r="I28" s="30" t="s">
        <v>347</v>
      </c>
      <c r="J28" s="30" t="s">
        <v>300</v>
      </c>
      <c r="K28" s="30" t="s">
        <v>348</v>
      </c>
    </row>
    <row r="29" customFormat="false" ht="42.75" hidden="false" customHeight="true" outlineLevel="0" collapsed="false">
      <c r="A29" s="40" t="s">
        <v>109</v>
      </c>
      <c r="B29" s="40" t="s">
        <v>295</v>
      </c>
      <c r="C29" s="40" t="s">
        <v>349</v>
      </c>
      <c r="D29" s="30" t="s">
        <v>108</v>
      </c>
      <c r="E29" s="41" t="n">
        <v>13910</v>
      </c>
      <c r="F29" s="40" t="s">
        <v>67</v>
      </c>
      <c r="G29" s="40" t="s">
        <v>31</v>
      </c>
      <c r="H29" s="30" t="s">
        <v>298</v>
      </c>
      <c r="I29" s="30" t="s">
        <v>347</v>
      </c>
      <c r="J29" s="30" t="s">
        <v>300</v>
      </c>
      <c r="K29" s="30" t="s">
        <v>350</v>
      </c>
    </row>
    <row r="30" customFormat="false" ht="42.75" hidden="false" customHeight="true" outlineLevel="0" collapsed="false">
      <c r="A30" s="40" t="s">
        <v>111</v>
      </c>
      <c r="B30" s="40" t="s">
        <v>295</v>
      </c>
      <c r="C30" s="40" t="s">
        <v>351</v>
      </c>
      <c r="D30" s="30" t="s">
        <v>110</v>
      </c>
      <c r="E30" s="41" t="n">
        <v>-7515</v>
      </c>
      <c r="F30" s="40" t="s">
        <v>67</v>
      </c>
      <c r="G30" s="40" t="s">
        <v>31</v>
      </c>
      <c r="H30" s="30" t="s">
        <v>298</v>
      </c>
      <c r="I30" s="30" t="s">
        <v>347</v>
      </c>
      <c r="J30" s="30" t="s">
        <v>300</v>
      </c>
      <c r="K30" s="30" t="s">
        <v>352</v>
      </c>
    </row>
    <row r="31" customFormat="false" ht="42.75" hidden="false" customHeight="true" outlineLevel="0" collapsed="false">
      <c r="A31" s="40" t="s">
        <v>112</v>
      </c>
      <c r="B31" s="40" t="s">
        <v>295</v>
      </c>
      <c r="C31" s="40" t="s">
        <v>353</v>
      </c>
      <c r="D31" s="30" t="s">
        <v>102</v>
      </c>
      <c r="E31" s="41" t="n">
        <v>43229</v>
      </c>
      <c r="F31" s="40" t="s">
        <v>67</v>
      </c>
      <c r="G31" s="40" t="s">
        <v>30</v>
      </c>
      <c r="H31" s="30" t="s">
        <v>298</v>
      </c>
      <c r="I31" s="30" t="s">
        <v>340</v>
      </c>
      <c r="J31" s="30" t="s">
        <v>300</v>
      </c>
      <c r="K31" s="30" t="s">
        <v>343</v>
      </c>
    </row>
    <row r="32" customFormat="false" ht="42.75" hidden="false" customHeight="true" outlineLevel="0" collapsed="false">
      <c r="A32" s="40" t="s">
        <v>354</v>
      </c>
      <c r="B32" s="40" t="s">
        <v>295</v>
      </c>
      <c r="C32" s="40" t="s">
        <v>355</v>
      </c>
      <c r="D32" s="30" t="s">
        <v>356</v>
      </c>
      <c r="E32" s="40" t="s">
        <v>357</v>
      </c>
      <c r="F32" s="40" t="s">
        <v>358</v>
      </c>
      <c r="G32" s="40" t="s">
        <v>31</v>
      </c>
      <c r="H32" s="30" t="s">
        <v>298</v>
      </c>
      <c r="I32" s="30" t="s">
        <v>359</v>
      </c>
      <c r="J32" s="30" t="s">
        <v>300</v>
      </c>
      <c r="K32" s="30" t="s">
        <v>360</v>
      </c>
    </row>
    <row r="33" customFormat="false" ht="55.5" hidden="false" customHeight="true" outlineLevel="0" collapsed="false">
      <c r="A33" s="40" t="s">
        <v>116</v>
      </c>
      <c r="B33" s="40" t="s">
        <v>295</v>
      </c>
      <c r="C33" s="40" t="s">
        <v>361</v>
      </c>
      <c r="D33" s="30" t="s">
        <v>113</v>
      </c>
      <c r="E33" s="41" t="n">
        <v>15</v>
      </c>
      <c r="F33" s="40" t="s">
        <v>114</v>
      </c>
      <c r="G33" s="40" t="s">
        <v>115</v>
      </c>
      <c r="H33" s="30" t="s">
        <v>298</v>
      </c>
      <c r="I33" s="30" t="s">
        <v>359</v>
      </c>
      <c r="J33" s="30" t="s">
        <v>300</v>
      </c>
      <c r="K33" s="30" t="s">
        <v>362</v>
      </c>
    </row>
    <row r="34" customFormat="false" ht="42.75" hidden="false" customHeight="true" outlineLevel="0" collapsed="false">
      <c r="A34" s="40" t="s">
        <v>363</v>
      </c>
      <c r="B34" s="40" t="s">
        <v>295</v>
      </c>
      <c r="C34" s="40" t="s">
        <v>364</v>
      </c>
      <c r="D34" s="30" t="s">
        <v>365</v>
      </c>
      <c r="E34" s="40" t="s">
        <v>366</v>
      </c>
      <c r="F34" s="40" t="s">
        <v>358</v>
      </c>
      <c r="G34" s="40" t="s">
        <v>115</v>
      </c>
      <c r="H34" s="30" t="s">
        <v>298</v>
      </c>
      <c r="I34" s="30" t="s">
        <v>359</v>
      </c>
      <c r="J34" s="30" t="s">
        <v>300</v>
      </c>
      <c r="K34" s="30" t="s">
        <v>367</v>
      </c>
    </row>
    <row r="35" customFormat="false" ht="55.5" hidden="false" customHeight="true" outlineLevel="0" collapsed="false">
      <c r="A35" s="40" t="s">
        <v>119</v>
      </c>
      <c r="B35" s="40" t="s">
        <v>295</v>
      </c>
      <c r="C35" s="40" t="s">
        <v>368</v>
      </c>
      <c r="D35" s="30" t="s">
        <v>117</v>
      </c>
      <c r="E35" s="41" t="n">
        <v>242.8</v>
      </c>
      <c r="F35" s="40" t="s">
        <v>118</v>
      </c>
      <c r="G35" s="40" t="s">
        <v>78</v>
      </c>
      <c r="H35" s="30" t="s">
        <v>298</v>
      </c>
      <c r="I35" s="30" t="s">
        <v>369</v>
      </c>
      <c r="J35" s="30" t="s">
        <v>300</v>
      </c>
      <c r="K35" s="30" t="s">
        <v>370</v>
      </c>
    </row>
    <row r="36" customFormat="false" ht="42.75" hidden="false" customHeight="true" outlineLevel="0" collapsed="false">
      <c r="A36" s="40" t="s">
        <v>371</v>
      </c>
      <c r="B36" s="40" t="s">
        <v>295</v>
      </c>
      <c r="C36" s="40" t="s">
        <v>372</v>
      </c>
      <c r="D36" s="30" t="s">
        <v>373</v>
      </c>
      <c r="E36" s="40" t="s">
        <v>374</v>
      </c>
      <c r="F36" s="40" t="s">
        <v>358</v>
      </c>
      <c r="G36" s="40" t="s">
        <v>115</v>
      </c>
      <c r="H36" s="30" t="s">
        <v>298</v>
      </c>
      <c r="I36" s="30" t="s">
        <v>359</v>
      </c>
      <c r="J36" s="30" t="s">
        <v>300</v>
      </c>
      <c r="K36" s="30" t="s">
        <v>375</v>
      </c>
    </row>
    <row r="37" customFormat="false" ht="42.75" hidden="false" customHeight="true" outlineLevel="0" collapsed="false">
      <c r="A37" s="40" t="s">
        <v>122</v>
      </c>
      <c r="B37" s="40" t="s">
        <v>295</v>
      </c>
      <c r="C37" s="40" t="s">
        <v>376</v>
      </c>
      <c r="D37" s="30" t="s">
        <v>120</v>
      </c>
      <c r="E37" s="41" t="n">
        <v>16</v>
      </c>
      <c r="F37" s="40" t="s">
        <v>118</v>
      </c>
      <c r="G37" s="40" t="s">
        <v>121</v>
      </c>
      <c r="H37" s="30" t="s">
        <v>298</v>
      </c>
      <c r="I37" s="30" t="s">
        <v>340</v>
      </c>
      <c r="J37" s="30" t="s">
        <v>300</v>
      </c>
      <c r="K37" s="30" t="s">
        <v>377</v>
      </c>
    </row>
    <row r="38" customFormat="false" ht="42.75" hidden="false" customHeight="true" outlineLevel="0" collapsed="false">
      <c r="A38" s="40" t="s">
        <v>124</v>
      </c>
      <c r="B38" s="40" t="s">
        <v>295</v>
      </c>
      <c r="C38" s="40" t="s">
        <v>378</v>
      </c>
      <c r="D38" s="30" t="s">
        <v>123</v>
      </c>
      <c r="E38" s="41" t="n">
        <v>32</v>
      </c>
      <c r="F38" s="40" t="s">
        <v>118</v>
      </c>
      <c r="G38" s="40" t="s">
        <v>31</v>
      </c>
      <c r="H38" s="30" t="s">
        <v>298</v>
      </c>
      <c r="I38" s="30" t="s">
        <v>340</v>
      </c>
      <c r="J38" s="30" t="s">
        <v>300</v>
      </c>
      <c r="K38" s="30" t="s">
        <v>379</v>
      </c>
    </row>
    <row r="39" customFormat="false" ht="55.5" hidden="false" customHeight="true" outlineLevel="0" collapsed="false">
      <c r="A39" s="40" t="s">
        <v>380</v>
      </c>
      <c r="B39" s="40" t="s">
        <v>295</v>
      </c>
      <c r="C39" s="40" t="s">
        <v>381</v>
      </c>
      <c r="D39" s="30" t="s">
        <v>382</v>
      </c>
      <c r="E39" s="40" t="s">
        <v>383</v>
      </c>
      <c r="F39" s="40" t="s">
        <v>358</v>
      </c>
      <c r="G39" s="40" t="s">
        <v>32</v>
      </c>
      <c r="H39" s="30" t="s">
        <v>298</v>
      </c>
      <c r="I39" s="30" t="s">
        <v>384</v>
      </c>
      <c r="J39" s="30" t="s">
        <v>300</v>
      </c>
      <c r="K39" s="30" t="s">
        <v>385</v>
      </c>
    </row>
    <row r="40" customFormat="false" ht="42.75" hidden="false" customHeight="true" outlineLevel="0" collapsed="false">
      <c r="A40" s="40" t="s">
        <v>126</v>
      </c>
      <c r="B40" s="40" t="s">
        <v>295</v>
      </c>
      <c r="C40" s="40" t="s">
        <v>386</v>
      </c>
      <c r="D40" s="30" t="s">
        <v>125</v>
      </c>
      <c r="E40" s="41" t="n">
        <v>70</v>
      </c>
      <c r="F40" s="40" t="s">
        <v>138</v>
      </c>
      <c r="G40" s="40" t="s">
        <v>31</v>
      </c>
      <c r="H40" s="30" t="s">
        <v>298</v>
      </c>
      <c r="I40" s="30" t="s">
        <v>387</v>
      </c>
      <c r="J40" s="30" t="s">
        <v>300</v>
      </c>
      <c r="K40" s="30" t="s">
        <v>388</v>
      </c>
    </row>
    <row r="41" customFormat="false" ht="42.75" hidden="false" customHeight="true" outlineLevel="0" collapsed="false">
      <c r="A41" s="40" t="s">
        <v>129</v>
      </c>
      <c r="B41" s="40" t="s">
        <v>295</v>
      </c>
      <c r="C41" s="40" t="s">
        <v>389</v>
      </c>
      <c r="D41" s="30" t="s">
        <v>127</v>
      </c>
      <c r="E41" s="41" t="n">
        <v>190820</v>
      </c>
      <c r="F41" s="40" t="s">
        <v>128</v>
      </c>
      <c r="G41" s="40" t="s">
        <v>78</v>
      </c>
      <c r="H41" s="30" t="s">
        <v>298</v>
      </c>
      <c r="I41" s="30" t="s">
        <v>340</v>
      </c>
      <c r="J41" s="30" t="s">
        <v>300</v>
      </c>
      <c r="K41" s="30" t="s">
        <v>390</v>
      </c>
    </row>
    <row r="42" customFormat="false" ht="69" hidden="false" customHeight="true" outlineLevel="0" collapsed="false">
      <c r="A42" s="40" t="s">
        <v>391</v>
      </c>
      <c r="B42" s="40" t="s">
        <v>295</v>
      </c>
      <c r="C42" s="40" t="s">
        <v>392</v>
      </c>
      <c r="D42" s="30" t="s">
        <v>393</v>
      </c>
      <c r="E42" s="40" t="s">
        <v>394</v>
      </c>
      <c r="F42" s="40" t="s">
        <v>358</v>
      </c>
      <c r="G42" s="40" t="s">
        <v>31</v>
      </c>
      <c r="H42" s="30" t="s">
        <v>298</v>
      </c>
      <c r="I42" s="30" t="s">
        <v>387</v>
      </c>
      <c r="J42" s="30" t="s">
        <v>300</v>
      </c>
      <c r="K42" s="30" t="s">
        <v>395</v>
      </c>
    </row>
    <row r="43" customFormat="false" ht="55.5" hidden="false" customHeight="true" outlineLevel="0" collapsed="false">
      <c r="A43" s="40" t="s">
        <v>396</v>
      </c>
      <c r="B43" s="40" t="s">
        <v>295</v>
      </c>
      <c r="C43" s="40" t="s">
        <v>397</v>
      </c>
      <c r="D43" s="30" t="s">
        <v>398</v>
      </c>
      <c r="E43" s="40" t="s">
        <v>399</v>
      </c>
      <c r="F43" s="40" t="s">
        <v>358</v>
      </c>
      <c r="G43" s="40" t="s">
        <v>31</v>
      </c>
      <c r="H43" s="30" t="s">
        <v>298</v>
      </c>
      <c r="I43" s="30" t="s">
        <v>387</v>
      </c>
      <c r="J43" s="30" t="s">
        <v>300</v>
      </c>
      <c r="K43" s="30" t="s">
        <v>400</v>
      </c>
    </row>
    <row r="44" customFormat="false" ht="69" hidden="false" customHeight="true" outlineLevel="0" collapsed="false">
      <c r="A44" s="40" t="s">
        <v>401</v>
      </c>
      <c r="B44" s="40" t="s">
        <v>295</v>
      </c>
      <c r="C44" s="40" t="s">
        <v>402</v>
      </c>
      <c r="D44" s="30" t="s">
        <v>403</v>
      </c>
      <c r="E44" s="40" t="s">
        <v>404</v>
      </c>
      <c r="F44" s="40" t="s">
        <v>358</v>
      </c>
      <c r="G44" s="40" t="s">
        <v>31</v>
      </c>
      <c r="H44" s="30" t="s">
        <v>298</v>
      </c>
      <c r="I44" s="30" t="s">
        <v>405</v>
      </c>
      <c r="J44" s="30" t="s">
        <v>300</v>
      </c>
      <c r="K44" s="30" t="s">
        <v>406</v>
      </c>
    </row>
    <row r="45" customFormat="false" ht="42.75" hidden="false" customHeight="true" outlineLevel="0" collapsed="false">
      <c r="A45" s="40" t="s">
        <v>187</v>
      </c>
      <c r="B45" s="40" t="s">
        <v>407</v>
      </c>
      <c r="C45" s="40" t="s">
        <v>408</v>
      </c>
      <c r="D45" s="30" t="s">
        <v>186</v>
      </c>
      <c r="E45" s="41" t="n">
        <v>336.91</v>
      </c>
      <c r="F45" s="40" t="s">
        <v>409</v>
      </c>
      <c r="G45" s="40" t="s">
        <v>410</v>
      </c>
      <c r="H45" s="30" t="s">
        <v>411</v>
      </c>
      <c r="I45" s="30" t="s">
        <v>412</v>
      </c>
      <c r="J45" s="30" t="s">
        <v>413</v>
      </c>
      <c r="K45" s="30" t="s">
        <v>414</v>
      </c>
    </row>
    <row r="46" customFormat="false" ht="42.75" hidden="false" customHeight="true" outlineLevel="0" collapsed="false">
      <c r="A46" s="40" t="s">
        <v>184</v>
      </c>
      <c r="B46" s="40" t="s">
        <v>407</v>
      </c>
      <c r="C46" s="40" t="s">
        <v>415</v>
      </c>
      <c r="D46" s="30" t="s">
        <v>183</v>
      </c>
      <c r="E46" s="41" t="n">
        <v>5.1</v>
      </c>
      <c r="F46" s="40" t="s">
        <v>138</v>
      </c>
      <c r="G46" s="40" t="s">
        <v>416</v>
      </c>
      <c r="H46" s="30" t="s">
        <v>417</v>
      </c>
      <c r="I46" s="30" t="s">
        <v>412</v>
      </c>
      <c r="J46" s="30" t="s">
        <v>418</v>
      </c>
      <c r="K46" s="30" t="s">
        <v>419</v>
      </c>
    </row>
    <row r="47" customFormat="false" ht="42.75" hidden="false" customHeight="true" outlineLevel="0" collapsed="false">
      <c r="A47" s="40" t="s">
        <v>149</v>
      </c>
      <c r="B47" s="40" t="s">
        <v>420</v>
      </c>
      <c r="C47" s="40" t="s">
        <v>421</v>
      </c>
      <c r="D47" s="30" t="s">
        <v>204</v>
      </c>
      <c r="E47" s="41" t="n">
        <v>14</v>
      </c>
      <c r="F47" s="40" t="s">
        <v>138</v>
      </c>
      <c r="G47" s="40" t="s">
        <v>32</v>
      </c>
      <c r="H47" s="30"/>
      <c r="I47" s="30"/>
      <c r="J47" s="30"/>
      <c r="K47" s="30" t="s">
        <v>205</v>
      </c>
    </row>
    <row r="48" customFormat="false" ht="30" hidden="false" customHeight="true" outlineLevel="0" collapsed="false">
      <c r="A48" s="40" t="s">
        <v>150</v>
      </c>
      <c r="B48" s="40" t="s">
        <v>420</v>
      </c>
      <c r="C48" s="40" t="s">
        <v>422</v>
      </c>
      <c r="D48" s="30" t="s">
        <v>206</v>
      </c>
      <c r="E48" s="41" t="n">
        <v>12</v>
      </c>
      <c r="F48" s="40" t="s">
        <v>138</v>
      </c>
      <c r="G48" s="40" t="s">
        <v>33</v>
      </c>
      <c r="H48" s="30"/>
      <c r="I48" s="30"/>
      <c r="J48" s="30"/>
      <c r="K48" s="30" t="s">
        <v>207</v>
      </c>
    </row>
    <row r="49" customFormat="false" ht="30" hidden="false" customHeight="true" outlineLevel="0" collapsed="false">
      <c r="A49" s="40" t="s">
        <v>151</v>
      </c>
      <c r="B49" s="40" t="s">
        <v>420</v>
      </c>
      <c r="C49" s="40" t="s">
        <v>423</v>
      </c>
      <c r="D49" s="30" t="s">
        <v>208</v>
      </c>
      <c r="E49" s="41" t="n">
        <v>10</v>
      </c>
      <c r="F49" s="40" t="s">
        <v>138</v>
      </c>
      <c r="G49" s="40" t="s">
        <v>34</v>
      </c>
      <c r="H49" s="30"/>
      <c r="I49" s="30"/>
      <c r="J49" s="30"/>
      <c r="K49" s="30" t="s">
        <v>209</v>
      </c>
    </row>
    <row r="50" customFormat="false" ht="16.5" hidden="false" customHeight="true" outlineLevel="0" collapsed="false">
      <c r="A50" s="40" t="s">
        <v>152</v>
      </c>
      <c r="B50" s="40" t="s">
        <v>420</v>
      </c>
      <c r="C50" s="40" t="s">
        <v>424</v>
      </c>
      <c r="D50" s="30" t="s">
        <v>210</v>
      </c>
      <c r="E50" s="41" t="n">
        <v>8</v>
      </c>
      <c r="F50" s="40" t="s">
        <v>138</v>
      </c>
      <c r="G50" s="40" t="s">
        <v>35</v>
      </c>
      <c r="H50" s="30"/>
      <c r="I50" s="30"/>
      <c r="J50" s="30"/>
      <c r="K50" s="30" t="s">
        <v>211</v>
      </c>
    </row>
    <row r="51" customFormat="false" ht="30" hidden="false" customHeight="true" outlineLevel="0" collapsed="false">
      <c r="A51" s="40" t="s">
        <v>153</v>
      </c>
      <c r="B51" s="40" t="s">
        <v>420</v>
      </c>
      <c r="C51" s="40" t="s">
        <v>425</v>
      </c>
      <c r="D51" s="30" t="s">
        <v>212</v>
      </c>
      <c r="E51" s="41" t="n">
        <v>6</v>
      </c>
      <c r="F51" s="40" t="s">
        <v>138</v>
      </c>
      <c r="G51" s="40" t="s">
        <v>36</v>
      </c>
      <c r="H51" s="30"/>
      <c r="I51" s="30"/>
      <c r="J51" s="30"/>
      <c r="K51" s="30" t="s">
        <v>213</v>
      </c>
    </row>
    <row r="52" customFormat="false" ht="69" hidden="false" customHeight="true" outlineLevel="0" collapsed="false">
      <c r="A52" s="40" t="s">
        <v>154</v>
      </c>
      <c r="B52" s="40" t="s">
        <v>420</v>
      </c>
      <c r="C52" s="40" t="s">
        <v>426</v>
      </c>
      <c r="D52" s="30" t="s">
        <v>214</v>
      </c>
      <c r="E52" s="41" t="n">
        <v>31</v>
      </c>
      <c r="F52" s="40" t="s">
        <v>138</v>
      </c>
      <c r="G52" s="40" t="s">
        <v>32</v>
      </c>
      <c r="H52" s="30"/>
      <c r="I52" s="30"/>
      <c r="J52" s="30"/>
      <c r="K52" s="30" t="s">
        <v>215</v>
      </c>
    </row>
    <row r="53" customFormat="false" ht="69" hidden="false" customHeight="true" outlineLevel="0" collapsed="false">
      <c r="A53" s="40" t="s">
        <v>155</v>
      </c>
      <c r="B53" s="40" t="s">
        <v>420</v>
      </c>
      <c r="C53" s="40" t="s">
        <v>427</v>
      </c>
      <c r="D53" s="30" t="s">
        <v>216</v>
      </c>
      <c r="E53" s="41" t="n">
        <v>30</v>
      </c>
      <c r="F53" s="40" t="s">
        <v>138</v>
      </c>
      <c r="G53" s="40" t="s">
        <v>33</v>
      </c>
      <c r="H53" s="30"/>
      <c r="I53" s="30"/>
      <c r="J53" s="30"/>
      <c r="K53" s="30" t="s">
        <v>215</v>
      </c>
    </row>
    <row r="54" customFormat="false" ht="69" hidden="false" customHeight="true" outlineLevel="0" collapsed="false">
      <c r="A54" s="40" t="s">
        <v>156</v>
      </c>
      <c r="B54" s="40" t="s">
        <v>420</v>
      </c>
      <c r="C54" s="40" t="s">
        <v>428</v>
      </c>
      <c r="D54" s="30" t="s">
        <v>217</v>
      </c>
      <c r="E54" s="41" t="n">
        <v>29</v>
      </c>
      <c r="F54" s="40" t="s">
        <v>138</v>
      </c>
      <c r="G54" s="40" t="s">
        <v>34</v>
      </c>
      <c r="H54" s="30"/>
      <c r="I54" s="30"/>
      <c r="J54" s="30"/>
      <c r="K54" s="30" t="s">
        <v>215</v>
      </c>
    </row>
    <row r="55" customFormat="false" ht="69" hidden="false" customHeight="true" outlineLevel="0" collapsed="false">
      <c r="A55" s="40" t="s">
        <v>157</v>
      </c>
      <c r="B55" s="40" t="s">
        <v>420</v>
      </c>
      <c r="C55" s="40" t="s">
        <v>429</v>
      </c>
      <c r="D55" s="30" t="s">
        <v>218</v>
      </c>
      <c r="E55" s="41" t="n">
        <v>29</v>
      </c>
      <c r="F55" s="40" t="s">
        <v>138</v>
      </c>
      <c r="G55" s="40" t="s">
        <v>35</v>
      </c>
      <c r="H55" s="30"/>
      <c r="I55" s="30"/>
      <c r="J55" s="30"/>
      <c r="K55" s="30" t="s">
        <v>215</v>
      </c>
    </row>
    <row r="56" customFormat="false" ht="69" hidden="false" customHeight="true" outlineLevel="0" collapsed="false">
      <c r="A56" s="40" t="s">
        <v>158</v>
      </c>
      <c r="B56" s="40" t="s">
        <v>420</v>
      </c>
      <c r="C56" s="40" t="s">
        <v>430</v>
      </c>
      <c r="D56" s="30" t="s">
        <v>219</v>
      </c>
      <c r="E56" s="41" t="n">
        <v>29</v>
      </c>
      <c r="F56" s="40" t="s">
        <v>138</v>
      </c>
      <c r="G56" s="40" t="s">
        <v>36</v>
      </c>
      <c r="H56" s="30"/>
      <c r="I56" s="30"/>
      <c r="J56" s="30"/>
      <c r="K56" s="30" t="s">
        <v>215</v>
      </c>
    </row>
    <row r="57" customFormat="false" ht="30" hidden="false" customHeight="true" outlineLevel="0" collapsed="false">
      <c r="A57" s="40" t="s">
        <v>159</v>
      </c>
      <c r="B57" s="40" t="s">
        <v>420</v>
      </c>
      <c r="C57" s="40" t="s">
        <v>431</v>
      </c>
      <c r="D57" s="30" t="s">
        <v>220</v>
      </c>
      <c r="E57" s="41" t="n">
        <v>29</v>
      </c>
      <c r="F57" s="40" t="s">
        <v>138</v>
      </c>
      <c r="G57" s="40" t="s">
        <v>432</v>
      </c>
      <c r="H57" s="30"/>
      <c r="I57" s="30"/>
      <c r="J57" s="30"/>
      <c r="K57" s="30" t="s">
        <v>221</v>
      </c>
    </row>
    <row r="58" customFormat="false" ht="55.5" hidden="false" customHeight="true" outlineLevel="0" collapsed="false">
      <c r="A58" s="40" t="s">
        <v>160</v>
      </c>
      <c r="B58" s="40" t="s">
        <v>420</v>
      </c>
      <c r="C58" s="40" t="s">
        <v>433</v>
      </c>
      <c r="D58" s="30" t="s">
        <v>222</v>
      </c>
      <c r="E58" s="41" t="n">
        <v>35</v>
      </c>
      <c r="F58" s="40" t="s">
        <v>138</v>
      </c>
      <c r="G58" s="40" t="s">
        <v>32</v>
      </c>
      <c r="H58" s="30"/>
      <c r="I58" s="30"/>
      <c r="J58" s="30"/>
      <c r="K58" s="30" t="s">
        <v>223</v>
      </c>
    </row>
    <row r="59" customFormat="false" ht="30" hidden="false" customHeight="true" outlineLevel="0" collapsed="false">
      <c r="A59" s="40" t="s">
        <v>161</v>
      </c>
      <c r="B59" s="40" t="s">
        <v>420</v>
      </c>
      <c r="C59" s="40" t="s">
        <v>434</v>
      </c>
      <c r="D59" s="30" t="s">
        <v>224</v>
      </c>
      <c r="E59" s="41" t="n">
        <v>33</v>
      </c>
      <c r="F59" s="40" t="s">
        <v>138</v>
      </c>
      <c r="G59" s="40" t="s">
        <v>33</v>
      </c>
      <c r="H59" s="30"/>
      <c r="I59" s="30"/>
      <c r="J59" s="30"/>
      <c r="K59" s="30" t="s">
        <v>225</v>
      </c>
    </row>
    <row r="60" customFormat="false" ht="30" hidden="false" customHeight="true" outlineLevel="0" collapsed="false">
      <c r="A60" s="40" t="s">
        <v>162</v>
      </c>
      <c r="B60" s="40" t="s">
        <v>420</v>
      </c>
      <c r="C60" s="40" t="s">
        <v>435</v>
      </c>
      <c r="D60" s="30" t="s">
        <v>226</v>
      </c>
      <c r="E60" s="41" t="n">
        <v>28</v>
      </c>
      <c r="F60" s="40" t="s">
        <v>138</v>
      </c>
      <c r="G60" s="40" t="s">
        <v>34</v>
      </c>
      <c r="H60" s="30"/>
      <c r="I60" s="30"/>
      <c r="J60" s="30"/>
      <c r="K60" s="30" t="s">
        <v>227</v>
      </c>
    </row>
    <row r="61" customFormat="false" ht="30" hidden="false" customHeight="true" outlineLevel="0" collapsed="false">
      <c r="A61" s="40" t="s">
        <v>163</v>
      </c>
      <c r="B61" s="40" t="s">
        <v>420</v>
      </c>
      <c r="C61" s="40" t="s">
        <v>436</v>
      </c>
      <c r="D61" s="30" t="s">
        <v>228</v>
      </c>
      <c r="E61" s="41" t="n">
        <v>22</v>
      </c>
      <c r="F61" s="40" t="s">
        <v>138</v>
      </c>
      <c r="G61" s="40" t="s">
        <v>35</v>
      </c>
      <c r="H61" s="30"/>
      <c r="I61" s="30"/>
      <c r="J61" s="30"/>
      <c r="K61" s="30" t="s">
        <v>229</v>
      </c>
    </row>
    <row r="62" customFormat="false" ht="30" hidden="false" customHeight="true" outlineLevel="0" collapsed="false">
      <c r="A62" s="40" t="s">
        <v>164</v>
      </c>
      <c r="B62" s="40" t="s">
        <v>420</v>
      </c>
      <c r="C62" s="40" t="s">
        <v>437</v>
      </c>
      <c r="D62" s="30" t="s">
        <v>230</v>
      </c>
      <c r="E62" s="41" t="n">
        <v>18</v>
      </c>
      <c r="F62" s="40" t="s">
        <v>138</v>
      </c>
      <c r="G62" s="40" t="s">
        <v>36</v>
      </c>
      <c r="H62" s="30"/>
      <c r="I62" s="30"/>
      <c r="J62" s="30"/>
      <c r="K62" s="30" t="s">
        <v>231</v>
      </c>
    </row>
    <row r="63" customFormat="false" ht="55.5" hidden="false" customHeight="true" outlineLevel="0" collapsed="false">
      <c r="A63" s="40" t="s">
        <v>166</v>
      </c>
      <c r="B63" s="40" t="s">
        <v>420</v>
      </c>
      <c r="C63" s="40" t="s">
        <v>438</v>
      </c>
      <c r="D63" s="30" t="s">
        <v>232</v>
      </c>
      <c r="E63" s="41" t="n">
        <v>7</v>
      </c>
      <c r="F63" s="40" t="s">
        <v>138</v>
      </c>
      <c r="G63" s="40" t="s">
        <v>32</v>
      </c>
      <c r="H63" s="30"/>
      <c r="I63" s="30"/>
      <c r="J63" s="30"/>
      <c r="K63" s="30" t="s">
        <v>233</v>
      </c>
    </row>
    <row r="64" customFormat="false" ht="55.5" hidden="false" customHeight="true" outlineLevel="0" collapsed="false">
      <c r="A64" s="40" t="s">
        <v>167</v>
      </c>
      <c r="B64" s="40" t="s">
        <v>420</v>
      </c>
      <c r="C64" s="40" t="s">
        <v>439</v>
      </c>
      <c r="D64" s="30" t="s">
        <v>234</v>
      </c>
      <c r="E64" s="41" t="n">
        <v>9</v>
      </c>
      <c r="F64" s="40" t="s">
        <v>138</v>
      </c>
      <c r="G64" s="40" t="s">
        <v>33</v>
      </c>
      <c r="H64" s="30"/>
      <c r="I64" s="30"/>
      <c r="J64" s="30"/>
      <c r="K64" s="30" t="s">
        <v>233</v>
      </c>
    </row>
    <row r="65" customFormat="false" ht="55.5" hidden="false" customHeight="true" outlineLevel="0" collapsed="false">
      <c r="A65" s="40" t="s">
        <v>168</v>
      </c>
      <c r="B65" s="40" t="s">
        <v>420</v>
      </c>
      <c r="C65" s="40" t="s">
        <v>440</v>
      </c>
      <c r="D65" s="30" t="s">
        <v>235</v>
      </c>
      <c r="E65" s="41" t="n">
        <v>10</v>
      </c>
      <c r="F65" s="40" t="s">
        <v>138</v>
      </c>
      <c r="G65" s="40" t="s">
        <v>34</v>
      </c>
      <c r="H65" s="30"/>
      <c r="I65" s="30"/>
      <c r="J65" s="30"/>
      <c r="K65" s="30" t="s">
        <v>233</v>
      </c>
    </row>
    <row r="66" customFormat="false" ht="55.5" hidden="false" customHeight="true" outlineLevel="0" collapsed="false">
      <c r="A66" s="40" t="s">
        <v>169</v>
      </c>
      <c r="B66" s="40" t="s">
        <v>420</v>
      </c>
      <c r="C66" s="40" t="s">
        <v>441</v>
      </c>
      <c r="D66" s="30" t="s">
        <v>236</v>
      </c>
      <c r="E66" s="41" t="n">
        <v>11</v>
      </c>
      <c r="F66" s="40" t="s">
        <v>138</v>
      </c>
      <c r="G66" s="40" t="s">
        <v>35</v>
      </c>
      <c r="H66" s="30"/>
      <c r="I66" s="30"/>
      <c r="J66" s="30"/>
      <c r="K66" s="30" t="s">
        <v>233</v>
      </c>
    </row>
    <row r="67" customFormat="false" ht="55.5" hidden="false" customHeight="true" outlineLevel="0" collapsed="false">
      <c r="A67" s="40" t="s">
        <v>170</v>
      </c>
      <c r="B67" s="40" t="s">
        <v>420</v>
      </c>
      <c r="C67" s="40" t="s">
        <v>442</v>
      </c>
      <c r="D67" s="30" t="s">
        <v>237</v>
      </c>
      <c r="E67" s="41" t="n">
        <v>11</v>
      </c>
      <c r="F67" s="40" t="s">
        <v>138</v>
      </c>
      <c r="G67" s="40" t="s">
        <v>36</v>
      </c>
      <c r="H67" s="30"/>
      <c r="I67" s="30"/>
      <c r="J67" s="30"/>
      <c r="K67" s="30" t="s">
        <v>233</v>
      </c>
    </row>
    <row r="68" customFormat="false" ht="42.75" hidden="false" customHeight="true" outlineLevel="0" collapsed="false">
      <c r="A68" s="40" t="s">
        <v>175</v>
      </c>
      <c r="B68" s="40" t="s">
        <v>420</v>
      </c>
      <c r="C68" s="40" t="s">
        <v>443</v>
      </c>
      <c r="D68" s="30" t="s">
        <v>174</v>
      </c>
      <c r="E68" s="41" t="n">
        <v>17</v>
      </c>
      <c r="F68" s="40" t="s">
        <v>138</v>
      </c>
      <c r="G68" s="40" t="s">
        <v>444</v>
      </c>
      <c r="H68" s="30"/>
      <c r="I68" s="30"/>
      <c r="J68" s="30"/>
      <c r="K68" s="30" t="s">
        <v>238</v>
      </c>
    </row>
    <row r="69" customFormat="false" ht="42.75" hidden="false" customHeight="true" outlineLevel="0" collapsed="false">
      <c r="A69" s="40" t="s">
        <v>178</v>
      </c>
      <c r="B69" s="40" t="s">
        <v>420</v>
      </c>
      <c r="C69" s="40" t="s">
        <v>445</v>
      </c>
      <c r="D69" s="30" t="s">
        <v>177</v>
      </c>
      <c r="E69" s="41" t="n">
        <v>1.1</v>
      </c>
      <c r="F69" s="40" t="s">
        <v>358</v>
      </c>
      <c r="G69" s="40" t="s">
        <v>358</v>
      </c>
      <c r="H69" s="30"/>
      <c r="I69" s="30"/>
      <c r="J69" s="30"/>
      <c r="K69" s="30" t="s">
        <v>239</v>
      </c>
    </row>
    <row r="70" customFormat="false" ht="42.75" hidden="false" customHeight="true" outlineLevel="0" collapsed="false">
      <c r="A70" s="40" t="s">
        <v>180</v>
      </c>
      <c r="B70" s="40" t="s">
        <v>420</v>
      </c>
      <c r="C70" s="40" t="s">
        <v>446</v>
      </c>
      <c r="D70" s="30" t="s">
        <v>179</v>
      </c>
      <c r="E70" s="41" t="n">
        <v>5</v>
      </c>
      <c r="F70" s="40" t="s">
        <v>138</v>
      </c>
      <c r="G70" s="40" t="s">
        <v>358</v>
      </c>
      <c r="H70" s="30"/>
      <c r="I70" s="30"/>
      <c r="J70" s="30"/>
      <c r="K70" s="30" t="s">
        <v>240</v>
      </c>
    </row>
    <row r="71" customFormat="false" ht="42.75" hidden="false" customHeight="true" outlineLevel="0" collapsed="false">
      <c r="A71" s="40" t="s">
        <v>182</v>
      </c>
      <c r="B71" s="40" t="s">
        <v>420</v>
      </c>
      <c r="C71" s="40" t="s">
        <v>447</v>
      </c>
      <c r="D71" s="30" t="s">
        <v>181</v>
      </c>
      <c r="E71" s="41" t="n">
        <v>3</v>
      </c>
      <c r="F71" s="40" t="s">
        <v>138</v>
      </c>
      <c r="G71" s="40" t="s">
        <v>432</v>
      </c>
      <c r="H71" s="30"/>
      <c r="I71" s="30"/>
      <c r="J71" s="30"/>
      <c r="K71" s="30" t="s">
        <v>241</v>
      </c>
    </row>
    <row r="72" customFormat="false" ht="42.75" hidden="false" customHeight="true" outlineLevel="0" collapsed="false">
      <c r="A72" s="40" t="s">
        <v>165</v>
      </c>
      <c r="B72" s="40" t="s">
        <v>420</v>
      </c>
      <c r="C72" s="40" t="s">
        <v>448</v>
      </c>
      <c r="D72" s="30" t="s">
        <v>242</v>
      </c>
      <c r="E72" s="41" t="n">
        <v>14</v>
      </c>
      <c r="F72" s="40" t="s">
        <v>138</v>
      </c>
      <c r="G72" s="40" t="s">
        <v>432</v>
      </c>
      <c r="H72" s="30"/>
      <c r="I72" s="30"/>
      <c r="J72" s="30"/>
      <c r="K72" s="30" t="s">
        <v>243</v>
      </c>
    </row>
    <row r="73" customFormat="false" ht="42.75" hidden="false" customHeight="true" outlineLevel="0" collapsed="false">
      <c r="A73" s="40" t="s">
        <v>171</v>
      </c>
      <c r="B73" s="40" t="s">
        <v>420</v>
      </c>
      <c r="C73" s="40" t="s">
        <v>449</v>
      </c>
      <c r="D73" s="30" t="s">
        <v>244</v>
      </c>
      <c r="E73" s="41" t="n">
        <v>11</v>
      </c>
      <c r="F73" s="40" t="s">
        <v>138</v>
      </c>
      <c r="G73" s="40" t="s">
        <v>432</v>
      </c>
      <c r="H73" s="30"/>
      <c r="I73" s="30"/>
      <c r="J73" s="30"/>
      <c r="K73" s="30" t="s">
        <v>245</v>
      </c>
    </row>
    <row r="74" customFormat="false" ht="42.75" hidden="false" customHeight="true" outlineLevel="0" collapsed="false">
      <c r="A74" s="40" t="s">
        <v>450</v>
      </c>
      <c r="B74" s="40" t="s">
        <v>451</v>
      </c>
      <c r="C74" s="40" t="s">
        <v>452</v>
      </c>
      <c r="D74" s="30" t="s">
        <v>453</v>
      </c>
      <c r="E74" s="40" t="s">
        <v>454</v>
      </c>
      <c r="F74" s="40"/>
      <c r="G74" s="40"/>
      <c r="H74" s="30" t="s">
        <v>455</v>
      </c>
      <c r="I74" s="30"/>
      <c r="J74" s="30" t="s">
        <v>456</v>
      </c>
      <c r="K74" s="30" t="s">
        <v>457</v>
      </c>
    </row>
    <row r="75" customFormat="false" ht="42.75" hidden="false" customHeight="true" outlineLevel="0" collapsed="false">
      <c r="A75" s="40" t="s">
        <v>458</v>
      </c>
      <c r="B75" s="40" t="s">
        <v>451</v>
      </c>
      <c r="C75" s="40" t="s">
        <v>459</v>
      </c>
      <c r="D75" s="30" t="s">
        <v>460</v>
      </c>
      <c r="E75" s="40" t="s">
        <v>461</v>
      </c>
      <c r="F75" s="40"/>
      <c r="G75" s="40"/>
      <c r="H75" s="30" t="s">
        <v>455</v>
      </c>
      <c r="I75" s="30"/>
      <c r="J75" s="30" t="s">
        <v>462</v>
      </c>
      <c r="K75" s="30" t="s">
        <v>463</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LibreOffice/26.2.6.3$Windows_X86_64 LibreOffice_project/8221e31b3ac356a1623c672912a3d2b492f7e3d1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2026-10-17T02:33:13Z</dcterms:created>
  <dc:creator>openpyxl</dc:creator>
  <dc:description/>
  <dc:language>pl-PL</dc:language>
  <cp:lastModifiedBy/>
  <dcterms:modified xsi:type="dcterms:W3CDTF">2026-10-17T02:33:13Z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